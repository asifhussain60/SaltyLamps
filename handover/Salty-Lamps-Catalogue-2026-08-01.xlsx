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roducts" sheetId="2" state="visible" r:id="rId2"/>
    <sheet xmlns:r="http://schemas.openxmlformats.org/officeDocument/2006/relationships" name="VAT &amp; Delivery" sheetId="3" state="visible" r:id="rId3"/>
    <sheet xmlns:r="http://schemas.openxmlformats.org/officeDocument/2006/relationships" name="Categories" sheetId="4" state="visible" r:id="rId4"/>
  </sheets>
  <definedNames>
    <definedName name="_xlnm._FilterDatabase" localSheetId="1" hidden="1">'Products'!$A$2:$M$79</definedName>
  </definedNames>
  <calcPr calcId="124519" fullCalcOnLoad="1"/>
</workbook>
</file>

<file path=xl/styles.xml><?xml version="1.0" encoding="utf-8"?>
<styleSheet xmlns="http://schemas.openxmlformats.org/spreadsheetml/2006/main">
  <numFmts count="1">
    <numFmt numFmtId="164" formatCode="£#,##0.00"/>
  </numFmts>
  <fonts count="9">
    <font>
      <name val="Calibri"/>
      <family val="2"/>
      <color theme="1"/>
      <sz val="11"/>
      <scheme val="minor"/>
    </font>
    <font>
      <b val="1"/>
      <color rgb="001C110D"/>
      <sz val="16"/>
    </font>
    <font>
      <b val="1"/>
    </font>
    <font>
      <b val="1"/>
      <sz val="13"/>
    </font>
    <font>
      <b val="1"/>
      <color rgb="009B4328"/>
    </font>
    <font>
      <i val="1"/>
      <color rgb="006B6B6B"/>
    </font>
    <font>
      <b val="1"/>
      <color rgb="009B4328"/>
      <sz val="11"/>
    </font>
    <font>
      <b val="1"/>
      <color rgb="00FFFFFF"/>
      <sz val="11"/>
    </font>
    <font>
      <color rgb="009B9B9B"/>
      <sz val="9"/>
    </font>
  </fonts>
  <fills count="8">
    <fill>
      <patternFill/>
    </fill>
    <fill>
      <patternFill patternType="gray125"/>
    </fill>
    <fill>
      <patternFill patternType="solid">
        <fgColor rgb="00D88A35"/>
      </patternFill>
    </fill>
    <fill>
      <patternFill patternType="solid">
        <fgColor rgb="00DCE9F7"/>
      </patternFill>
    </fill>
    <fill>
      <patternFill patternType="solid">
        <fgColor rgb="00E2F0DA"/>
      </patternFill>
    </fill>
    <fill>
      <patternFill patternType="solid">
        <fgColor rgb="00EFEFEF"/>
      </patternFill>
    </fill>
    <fill>
      <patternFill patternType="solid">
        <fgColor rgb="00FCE8E6"/>
      </patternFill>
    </fill>
    <fill>
      <patternFill patternType="solid">
        <fgColor rgb="002F3A4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2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0" fillId="6" borderId="0" applyAlignment="1" pivotButton="0" quotePrefix="0" xfId="0">
      <alignment vertical="top" wrapText="1"/>
    </xf>
    <xf numFmtId="0" fontId="6" fillId="0" borderId="0" pivotButton="0" quotePrefix="0" xfId="0"/>
    <xf numFmtId="0" fontId="7" fillId="7" borderId="1" applyAlignment="1" pivotButton="0" quotePrefix="0" xfId="0">
      <alignment horizontal="center" vertical="center" wrapText="1"/>
    </xf>
    <xf numFmtId="0" fontId="8" fillId="5" borderId="1" applyAlignment="1" pivotButton="0" quotePrefix="0" xfId="0">
      <alignment horizontal="center"/>
    </xf>
    <xf numFmtId="0" fontId="0" fillId="0" borderId="1" applyAlignment="1" pivotButton="0" quotePrefix="0" xfId="0">
      <alignment vertical="top" wrapText="1"/>
    </xf>
    <xf numFmtId="0" fontId="0" fillId="0" borderId="1" pivotButton="0" quotePrefix="0" xfId="0"/>
    <xf numFmtId="0" fontId="0" fillId="3" borderId="1" pivotButton="0" quotePrefix="0" xfId="0"/>
    <xf numFmtId="164" fontId="0" fillId="5" borderId="1" pivotButton="0" quotePrefix="0" xfId="0"/>
    <xf numFmtId="164" fontId="0" fillId="3" borderId="1" pivotButton="0" quotePrefix="0" xfId="0"/>
    <xf numFmtId="0" fontId="0" fillId="0" borderId="1" applyAlignment="1" pivotButton="0" quotePrefix="0" xfId="0">
      <alignment horizontal="center"/>
    </xf>
    <xf numFmtId="164" fontId="0" fillId="4" borderId="1" pivotButton="0" quotePrefix="0" xfId="0"/>
    <xf numFmtId="0" fontId="4" fillId="6" borderId="1" applyAlignment="1" pivotButton="0" quotePrefix="0" xfId="0">
      <alignment vertical="top" wrapText="1"/>
    </xf>
    <xf numFmtId="0" fontId="7" fillId="7" borderId="0" applyAlignment="1" pivotButton="0" quotePrefix="0" xfId="0">
      <alignment horizontal="center" vertical="center"/>
    </xf>
    <xf numFmtId="0" fontId="2" fillId="0" borderId="1" applyAlignment="1" pivotButton="0" quotePrefix="0" xfId="0">
      <alignment vertical="top" wrapText="1"/>
    </xf>
    <xf numFmtId="0" fontId="5" fillId="3" borderId="1" applyAlignment="1" pivotButton="0" quotePrefix="0" xfId="0">
      <alignment horizontal="center" vertical="center"/>
    </xf>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6"/>
  <sheetViews>
    <sheetView showGridLines="0" workbookViewId="0">
      <selection activeCell="A1" sqref="A1"/>
    </sheetView>
  </sheetViews>
  <sheetFormatPr baseColWidth="8" defaultRowHeight="15"/>
  <cols>
    <col width="4" customWidth="1" min="1" max="1"/>
    <col width="108" customWidth="1" min="2" max="2"/>
  </cols>
  <sheetData>
    <row r="1" ht="34" customHeight="1">
      <c r="B1" s="1" t="inlineStr">
        <is>
          <t>Salty Lamps — product and price update</t>
        </is>
      </c>
    </row>
    <row r="2">
      <c r="B2" s="2" t="inlineStr"/>
    </row>
    <row r="3" ht="32" customHeight="1">
      <c r="B3" s="2" t="inlineStr">
        <is>
          <t>We're rebuilding the Salty Lamps website and starting the stock records fresh. This sheet is how we get the correct, current numbers straight from you rather than guessing from the April 2025 price list.</t>
        </is>
      </c>
    </row>
    <row r="4">
      <c r="B4" s="2" t="inlineStr"/>
    </row>
    <row r="5">
      <c r="B5" s="3" t="inlineStr">
        <is>
          <t>It should take about 20–30 minutes. Nothing here is technical.</t>
        </is>
      </c>
    </row>
    <row r="6">
      <c r="B6" s="2" t="inlineStr"/>
    </row>
    <row r="7">
      <c r="B7" s="4" t="inlineStr">
        <is>
          <t>WHAT TO DO</t>
        </is>
      </c>
    </row>
    <row r="8" ht="18" customHeight="1">
      <c r="B8" s="2" t="inlineStr">
        <is>
          <t>1.  Open the 'Products' tab. There is one row for every item and size you sell — 77 rows.</t>
        </is>
      </c>
    </row>
    <row r="9" ht="18" customHeight="1">
      <c r="B9" s="2" t="inlineStr">
        <is>
          <t>2.  For each row, fill in the BLUE columns:</t>
        </is>
      </c>
    </row>
    <row r="10" ht="18" customHeight="1">
      <c r="B10" s="2" t="inlineStr">
        <is>
          <t xml:space="preserve">        •  Your cost per unit  —  what you pay for one, before VAT</t>
        </is>
      </c>
    </row>
    <row r="11" ht="18" customHeight="1">
      <c r="B11" s="2" t="inlineStr">
        <is>
          <t xml:space="preserve">        •  Stock you have now  —  how many you actually hold today</t>
        </is>
      </c>
    </row>
    <row r="12" ht="18" customHeight="1">
      <c r="B12" s="2" t="inlineStr">
        <is>
          <t xml:space="preserve">        •  Still selling?  —  choose Yes or No from the dropdown</t>
        </is>
      </c>
    </row>
    <row r="13" ht="18" customHeight="1">
      <c r="B13" s="2" t="inlineStr">
        <is>
          <t xml:space="preserve">        •  Product code  —  only if the one shown is wrong</t>
        </is>
      </c>
    </row>
    <row r="14" ht="18" customHeight="1">
      <c r="B14" s="2" t="inlineStr">
        <is>
          <t xml:space="preserve">        •  Or set your own shop price  —  only if you don't want the calculated one</t>
        </is>
      </c>
    </row>
    <row r="15" ht="30" customHeight="1">
      <c r="B15" s="2" t="inlineStr">
        <is>
          <t>3.  Costs are already filled in from the April 2025 list. Please correct any that have changed, and fill in the ones that are blank.</t>
        </is>
      </c>
    </row>
    <row r="16" ht="30" customHeight="1">
      <c r="B16" s="2" t="inlineStr">
        <is>
          <t>4.  Read the 'Notes' column on the right. About 15 rows have a specific question for you — mostly product codes that are duplicated or missing.</t>
        </is>
      </c>
    </row>
    <row r="17" ht="30" customHeight="1">
      <c r="B17" s="2" t="inlineStr">
        <is>
          <t>5.  Fill in the 'VAT &amp; Delivery' tab. It's 9 questions and it's the part we genuinely cannot answer for you.</t>
        </is>
      </c>
    </row>
    <row r="18" ht="18" customHeight="1">
      <c r="B18" s="2" t="inlineStr">
        <is>
          <t>6.  Glance at the 'Categories' tab and tell us if any names are wrong.</t>
        </is>
      </c>
    </row>
    <row r="19" ht="18" customHeight="1">
      <c r="B19" s="3" t="inlineStr">
        <is>
          <t>7.  Send the file back. That's it.</t>
        </is>
      </c>
    </row>
    <row r="20">
      <c r="B20" s="2" t="inlineStr"/>
    </row>
    <row r="21">
      <c r="B21" s="4" t="inlineStr">
        <is>
          <t>THE COLOURS MEAN SOMETHING</t>
        </is>
      </c>
    </row>
    <row r="22">
      <c r="B22" s="5" t="inlineStr">
        <is>
          <t xml:space="preserve">     Blue  =  please fill this in.  These are the only cells you need to touch.</t>
        </is>
      </c>
    </row>
    <row r="23">
      <c r="B23" s="6" t="inlineStr">
        <is>
          <t xml:space="preserve">     Green =  worked out automatically.  Please don't type in these — they update themselves.</t>
        </is>
      </c>
    </row>
    <row r="24">
      <c r="B24" s="7" t="inlineStr">
        <is>
          <t xml:space="preserve">     Grey  =  for your reference only.  This is what the website currently shows.</t>
        </is>
      </c>
    </row>
    <row r="25">
      <c r="B25" s="2" t="inlineStr"/>
    </row>
    <row r="26" ht="30" customHeight="1">
      <c r="B26" s="8" t="inlineStr">
        <is>
          <t>Please don't delete or edit column A ('Ref'). It's how we match your answers back to the right product — you can sort and filter freely, but if that column goes, we lose the link.</t>
        </is>
      </c>
    </row>
    <row r="27">
      <c r="B27" s="2" t="inlineStr"/>
    </row>
    <row r="28">
      <c r="B28" s="4" t="inlineStr">
        <is>
          <t>HOW THE SHOP PRICE IS WORKED OUT</t>
        </is>
      </c>
    </row>
    <row r="29" ht="46" customHeight="1">
      <c r="B29" s="2" t="inlineStr">
        <is>
          <t>You enter the cost; the green 'New shop price' column fills itself in as you type. It doubles your cost, then rounds to the nearest .99 — which is exactly what your current prices already do. A £15 lamp cost becomes £29.99, a £12.50 cost becomes £24.99. If a pack contains several units, it multiplies up first.</t>
        </is>
      </c>
    </row>
    <row r="30">
      <c r="B30" s="2" t="inlineStr"/>
    </row>
    <row r="31" ht="30" customHeight="1">
      <c r="B31" s="9" t="inlineStr">
        <is>
          <t>If you'd rather set a different shop price for something, put it in the 'Or set your own shop price' column and we'll use your figure instead of the calculated one.</t>
        </is>
      </c>
    </row>
    <row r="32">
      <c r="B32" s="2" t="inlineStr"/>
    </row>
    <row r="33">
      <c r="B33" s="4" t="inlineStr">
        <is>
          <t>WHY WE'RE ASKING</t>
        </is>
      </c>
    </row>
    <row r="34" ht="76" customHeight="1">
      <c r="B34" s="10" t="inlineStr">
        <is>
          <t>When the old website's products were exported, the per-size prices were lost. Every size of an item ended up with the same price — a twelve-pack of large salt licks was priced the same as a single small one, and ten kilos of culinary salt the same as one kilo. Twenty-one items were being sold for less than they cost you. We've corrected those from the 2025 list, but we'd rather rebuild from your real figures than from a list that's a year old.</t>
        </is>
      </c>
    </row>
    <row r="35">
      <c r="B35" s="2" t="inlineStr"/>
    </row>
    <row r="36">
      <c r="B36" s="9" t="inlineStr">
        <is>
          <t>Prepared 1 August 2026 · 35 products · 77 sizes · any questions, just ask.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9"/>
  <sheetViews>
    <sheetView workbookViewId="0">
      <pane ySplit="2" topLeftCell="A3" activePane="bottomLeft" state="frozen"/>
      <selection pane="bottomLeft" activeCell="A1" sqref="A1"/>
    </sheetView>
  </sheetViews>
  <sheetFormatPr baseColWidth="8" defaultRowHeight="15"/>
  <cols>
    <col width="7" customWidth="1" min="1" max="1"/>
    <col width="42" customWidth="1" min="2" max="2"/>
    <col width="18" customWidth="1" min="3" max="3"/>
    <col width="16" customWidth="1" min="4" max="4"/>
    <col width="20" customWidth="1" min="5" max="5"/>
    <col width="14" customWidth="1" min="6" max="6"/>
    <col width="15" customWidth="1" min="7" max="7"/>
    <col width="9" customWidth="1" min="8" max="8"/>
    <col width="15" customWidth="1" min="9" max="9"/>
    <col width="14" customWidth="1" min="10" max="10"/>
    <col width="11" customWidth="1" min="11" max="11"/>
    <col width="11" customWidth="1" min="12" max="12"/>
    <col width="58" customWidth="1" min="13" max="13"/>
  </cols>
  <sheetData>
    <row r="1" ht="22" customHeight="1">
      <c r="A1" s="11" t="inlineStr">
        <is>
          <t>Fill in the BLUE columns. The green one fills itself in as you type. Grey is reference only — please leave column A alone, it's how we match your answers back up.</t>
        </is>
      </c>
    </row>
    <row r="2" ht="34" customHeight="1">
      <c r="A2" s="12" t="inlineStr">
        <is>
          <t>Ref
(don't change)</t>
        </is>
      </c>
      <c r="B2" s="12" t="inlineStr">
        <is>
          <t>Product</t>
        </is>
      </c>
      <c r="C2" s="12" t="inlineStr">
        <is>
          <t>Size / option</t>
        </is>
      </c>
      <c r="D2" s="12" t="inlineStr">
        <is>
          <t>Product code
(correct it if wrong)</t>
        </is>
      </c>
      <c r="E2" s="12" t="inlineStr">
        <is>
          <t>Category</t>
        </is>
      </c>
      <c r="F2" s="12" t="inlineStr">
        <is>
          <t>Price on the site now
(reference only)</t>
        </is>
      </c>
      <c r="G2" s="12" t="inlineStr">
        <is>
          <t>YOUR COST per unit £
(before VAT)</t>
        </is>
      </c>
      <c r="H2" s="12" t="inlineStr">
        <is>
          <t>Units in
this pack</t>
        </is>
      </c>
      <c r="I2" s="12" t="inlineStr">
        <is>
          <t>Shop price
(worked out for you)</t>
        </is>
      </c>
      <c r="J2" s="12" t="inlineStr">
        <is>
          <t>Or set your own
shop price £</t>
        </is>
      </c>
      <c r="K2" s="12" t="inlineStr">
        <is>
          <t>STOCK you
have now</t>
        </is>
      </c>
      <c r="L2" s="12" t="inlineStr">
        <is>
          <t>STILL
SELLING?</t>
        </is>
      </c>
      <c r="M2" s="12" t="inlineStr">
        <is>
          <t>Notes — please read, some rows have a question for you</t>
        </is>
      </c>
    </row>
    <row r="3">
      <c r="A3" s="13" t="n">
        <v>44</v>
      </c>
      <c r="B3" s="14" t="inlineStr">
        <is>
          <t>Angel Shape Himalayan Rock Salt Lamp</t>
        </is>
      </c>
      <c r="C3" s="15" t="inlineStr">
        <is>
          <t>—</t>
        </is>
      </c>
      <c r="D3" s="16" t="inlineStr">
        <is>
          <t>RSL-A</t>
        </is>
      </c>
      <c r="E3" s="14" t="inlineStr">
        <is>
          <t>Salt lamps</t>
        </is>
      </c>
      <c r="F3" s="17" t="n">
        <v>29.99</v>
      </c>
      <c r="G3" s="18" t="n">
        <v>15</v>
      </c>
      <c r="H3" s="19" t="n">
        <v>1</v>
      </c>
      <c r="I3" s="20">
        <f>IF(G3="","",CEILING(G3*H3*2,1)-0.01)</f>
        <v/>
      </c>
      <c r="J3" s="18" t="n"/>
      <c r="K3" s="16" t="n"/>
      <c r="L3" s="16" t="n"/>
      <c r="M3" s="14" t="inlineStr"/>
    </row>
    <row r="4">
      <c r="A4" s="13" t="n">
        <v>1</v>
      </c>
      <c r="B4" s="14" t="inlineStr">
        <is>
          <t>AuraFrames UK</t>
        </is>
      </c>
      <c r="C4" s="15" t="inlineStr">
        <is>
          <t>—</t>
        </is>
      </c>
      <c r="D4" s="16" t="inlineStr">
        <is>
          <t>product_1984920f-d499-367d-8f0f-e622486c621a-default</t>
        </is>
      </c>
      <c r="E4" s="14" t="inlineStr">
        <is>
          <t>—</t>
        </is>
      </c>
      <c r="F4" s="17" t="n">
        <v>199</v>
      </c>
      <c r="G4" s="18" t="n"/>
      <c r="H4" s="19" t="n">
        <v>1</v>
      </c>
      <c r="I4" s="20">
        <f>IF(G4="","",CEILING(G4*H4*2,1)-0.01)</f>
        <v/>
      </c>
      <c r="J4" s="18" t="n"/>
      <c r="K4" s="16" t="n"/>
      <c r="L4" s="16" t="n"/>
      <c r="M4" s="21" t="inlineStr">
        <is>
          <t>NEEDS A REAL CODE. This is a leftover from the old website's export, not a product code. Please give it a proper one.</t>
        </is>
      </c>
    </row>
    <row r="5">
      <c r="A5" s="13" t="n">
        <v>58</v>
      </c>
      <c r="B5" s="14" t="inlineStr">
        <is>
          <t>Ball - Sphere Shaped Himalayan Rock Salt Lamp</t>
        </is>
      </c>
      <c r="C5" s="15" t="inlineStr">
        <is>
          <t>Small</t>
        </is>
      </c>
      <c r="D5" s="16" t="inlineStr">
        <is>
          <t>RSL-B</t>
        </is>
      </c>
      <c r="E5" s="14" t="inlineStr">
        <is>
          <t>Salt lamps</t>
        </is>
      </c>
      <c r="F5" s="17" t="n">
        <v>24.99</v>
      </c>
      <c r="G5" s="18" t="n">
        <v>12.5</v>
      </c>
      <c r="H5" s="19" t="n">
        <v>1</v>
      </c>
      <c r="I5" s="20">
        <f>IF(G5="","",CEILING(G5*H5*2,1)-0.01)</f>
        <v/>
      </c>
      <c r="J5" s="18" t="n"/>
      <c r="K5" s="16" t="n"/>
      <c r="L5" s="16" t="n"/>
      <c r="M5" s="14" t="inlineStr"/>
    </row>
    <row r="6">
      <c r="A6" s="13" t="n">
        <v>59</v>
      </c>
      <c r="B6" s="14" t="inlineStr">
        <is>
          <t>Ball - Sphere Shaped Himalayan Rock Salt Lamp</t>
        </is>
      </c>
      <c r="C6" s="15" t="inlineStr">
        <is>
          <t>Large</t>
        </is>
      </c>
      <c r="D6" s="16" t="inlineStr">
        <is>
          <t>RSL-BB</t>
        </is>
      </c>
      <c r="E6" s="14" t="inlineStr">
        <is>
          <t>Salt lamps</t>
        </is>
      </c>
      <c r="F6" s="17" t="n">
        <v>35.99</v>
      </c>
      <c r="G6" s="18" t="n">
        <v>18</v>
      </c>
      <c r="H6" s="19" t="n">
        <v>1</v>
      </c>
      <c r="I6" s="20">
        <f>IF(G6="","",CEILING(G6*H6*2,1)-0.01)</f>
        <v/>
      </c>
      <c r="J6" s="18" t="n"/>
      <c r="K6" s="16" t="n"/>
      <c r="L6" s="16" t="n"/>
      <c r="M6" s="14" t="inlineStr"/>
    </row>
    <row r="7">
      <c r="A7" s="13" t="n">
        <v>42</v>
      </c>
      <c r="B7" s="14" t="inlineStr">
        <is>
          <t>Block Shape Himalayan Rock Salt Lamp</t>
        </is>
      </c>
      <c r="C7" s="15" t="inlineStr">
        <is>
          <t>—</t>
        </is>
      </c>
      <c r="D7" s="16" t="inlineStr">
        <is>
          <t>RSL-BL</t>
        </is>
      </c>
      <c r="E7" s="14" t="inlineStr">
        <is>
          <t>Salt lamps</t>
        </is>
      </c>
      <c r="F7" s="17" t="n">
        <v>24.99</v>
      </c>
      <c r="G7" s="18" t="n">
        <v>12.5</v>
      </c>
      <c r="H7" s="19" t="n">
        <v>1</v>
      </c>
      <c r="I7" s="20">
        <f>IF(G7="","",CEILING(G7*H7*2,1)-0.01)</f>
        <v/>
      </c>
      <c r="J7" s="18" t="n"/>
      <c r="K7" s="16" t="n"/>
      <c r="L7" s="16" t="n"/>
      <c r="M7" s="14" t="inlineStr"/>
    </row>
    <row r="8">
      <c r="A8" s="13" t="n">
        <v>33</v>
      </c>
      <c r="B8" s="14" t="inlineStr">
        <is>
          <t>Cable for Salt Lamp</t>
        </is>
      </c>
      <c r="C8" s="15" t="inlineStr">
        <is>
          <t>—</t>
        </is>
      </c>
      <c r="D8" s="16" t="inlineStr">
        <is>
          <t>PC2</t>
        </is>
      </c>
      <c r="E8" s="14" t="inlineStr">
        <is>
          <t>Accessories</t>
        </is>
      </c>
      <c r="F8" s="17" t="n">
        <v>5.99</v>
      </c>
      <c r="G8" s="18" t="n"/>
      <c r="H8" s="19" t="n">
        <v>1</v>
      </c>
      <c r="I8" s="20">
        <f>IF(G8="","",CEILING(G8*H8*2,1)-0.01)</f>
        <v/>
      </c>
      <c r="J8" s="18" t="n"/>
      <c r="K8" s="16" t="n"/>
      <c r="L8" s="16" t="n"/>
      <c r="M8" s="21" t="inlineStr">
        <is>
          <t>No cost on the 2025 list — please add one.</t>
        </is>
      </c>
    </row>
    <row r="9">
      <c r="A9" s="13" t="n">
        <v>35</v>
      </c>
      <c r="B9" s="14" t="inlineStr">
        <is>
          <t>Cable for Salt Lamp</t>
        </is>
      </c>
      <c r="C9" s="15" t="inlineStr">
        <is>
          <t>—</t>
        </is>
      </c>
      <c r="D9" s="16" t="inlineStr">
        <is>
          <t>PC1</t>
        </is>
      </c>
      <c r="E9" s="14" t="inlineStr">
        <is>
          <t>Accessories</t>
        </is>
      </c>
      <c r="F9" s="17" t="n">
        <v>6.99</v>
      </c>
      <c r="G9" s="18" t="n"/>
      <c r="H9" s="19" t="n">
        <v>1</v>
      </c>
      <c r="I9" s="20">
        <f>IF(G9="","",CEILING(G9*H9*2,1)-0.01)</f>
        <v/>
      </c>
      <c r="J9" s="18" t="n"/>
      <c r="K9" s="16" t="n"/>
      <c r="L9" s="16" t="n"/>
      <c r="M9" s="21" t="inlineStr">
        <is>
          <t>No cost on the 2025 list — please add one.</t>
        </is>
      </c>
    </row>
    <row r="10">
      <c r="A10" s="13" t="n">
        <v>43</v>
      </c>
      <c r="B10" s="14" t="inlineStr">
        <is>
          <t>Dolphin Shape Himalayan Rock Salt Lamp</t>
        </is>
      </c>
      <c r="C10" s="15" t="inlineStr">
        <is>
          <t>—</t>
        </is>
      </c>
      <c r="D10" s="16" t="inlineStr">
        <is>
          <t>RSL-Dolphin</t>
        </is>
      </c>
      <c r="E10" s="14" t="inlineStr">
        <is>
          <t>Salt lamps</t>
        </is>
      </c>
      <c r="F10" s="17" t="n">
        <v>29.99</v>
      </c>
      <c r="G10" s="18" t="n"/>
      <c r="H10" s="19" t="n">
        <v>1</v>
      </c>
      <c r="I10" s="20">
        <f>IF(G10="","",CEILING(G10*H10*2,1)-0.01)</f>
        <v/>
      </c>
      <c r="J10" s="18" t="n"/>
      <c r="K10" s="16" t="n"/>
      <c r="L10" s="16" t="n"/>
      <c r="M10" s="21" t="inlineStr">
        <is>
          <t>No cost on the 2025 list — please add one.</t>
        </is>
      </c>
    </row>
    <row r="11">
      <c r="A11" s="13" t="n">
        <v>50</v>
      </c>
      <c r="B11" s="14" t="inlineStr">
        <is>
          <t>Dove Shape Himalayan Rock Salt Lamp</t>
        </is>
      </c>
      <c r="C11" s="15" t="inlineStr">
        <is>
          <t>—</t>
        </is>
      </c>
      <c r="D11" s="16" t="inlineStr">
        <is>
          <t>RSL-D</t>
        </is>
      </c>
      <c r="E11" s="14" t="inlineStr">
        <is>
          <t>Salt lamps</t>
        </is>
      </c>
      <c r="F11" s="17" t="n">
        <v>29.99</v>
      </c>
      <c r="G11" s="18" t="n">
        <v>15</v>
      </c>
      <c r="H11" s="19" t="n">
        <v>1</v>
      </c>
      <c r="I11" s="20">
        <f>IF(G11="","",CEILING(G11*H11*2,1)-0.01)</f>
        <v/>
      </c>
      <c r="J11" s="18" t="n"/>
      <c r="K11" s="16" t="n"/>
      <c r="L11" s="16" t="n"/>
      <c r="M11" s="14" t="inlineStr"/>
    </row>
    <row r="12">
      <c r="A12" s="13" t="n">
        <v>77</v>
      </c>
      <c r="B12" s="14" t="inlineStr">
        <is>
          <t>Fire Basket Himalayan Rock Salt Lamp</t>
        </is>
      </c>
      <c r="C12" s="15" t="inlineStr">
        <is>
          <t>—</t>
        </is>
      </c>
      <c r="D12" s="16" t="inlineStr">
        <is>
          <t>RSL-B1</t>
        </is>
      </c>
      <c r="E12" s="14" t="inlineStr">
        <is>
          <t>Salt lamps</t>
        </is>
      </c>
      <c r="F12" s="17" t="n">
        <v>24.99</v>
      </c>
      <c r="G12" s="18" t="n">
        <v>12.5</v>
      </c>
      <c r="H12" s="19" t="n">
        <v>1</v>
      </c>
      <c r="I12" s="20">
        <f>IF(G12="","",CEILING(G12*H12*2,1)-0.01)</f>
        <v/>
      </c>
      <c r="J12" s="18" t="n"/>
      <c r="K12" s="16" t="n"/>
      <c r="L12" s="16" t="n"/>
      <c r="M12" s="14" t="inlineStr"/>
    </row>
    <row r="13">
      <c r="A13" s="13" t="n">
        <v>65</v>
      </c>
      <c r="B13" s="14" t="inlineStr">
        <is>
          <t>Fire Bowl Himalayan Rock Salt Lamp</t>
        </is>
      </c>
      <c r="C13" s="15" t="inlineStr">
        <is>
          <t>Small</t>
        </is>
      </c>
      <c r="D13" s="16" t="inlineStr">
        <is>
          <t>RSL-B2</t>
        </is>
      </c>
      <c r="E13" s="14" t="inlineStr">
        <is>
          <t>Salt lamps</t>
        </is>
      </c>
      <c r="F13" s="17" t="n">
        <v>24.99</v>
      </c>
      <c r="G13" s="18" t="n">
        <v>12.5</v>
      </c>
      <c r="H13" s="19" t="n">
        <v>1</v>
      </c>
      <c r="I13" s="20">
        <f>IF(G13="","",CEILING(G13*H13*2,1)-0.01)</f>
        <v/>
      </c>
      <c r="J13" s="18" t="n"/>
      <c r="K13" s="16" t="n"/>
      <c r="L13" s="16" t="n"/>
      <c r="M13" s="14" t="inlineStr"/>
    </row>
    <row r="14">
      <c r="A14" s="13" t="n">
        <v>66</v>
      </c>
      <c r="B14" s="14" t="inlineStr">
        <is>
          <t>Fire Bowl Himalayan Rock Salt Lamp</t>
        </is>
      </c>
      <c r="C14" s="15" t="inlineStr">
        <is>
          <t>Large</t>
        </is>
      </c>
      <c r="D14" s="16" t="inlineStr">
        <is>
          <t>RSL-B3</t>
        </is>
      </c>
      <c r="E14" s="14" t="inlineStr">
        <is>
          <t>Salt lamps</t>
        </is>
      </c>
      <c r="F14" s="17" t="n">
        <v>29.99</v>
      </c>
      <c r="G14" s="18" t="n">
        <v>15</v>
      </c>
      <c r="H14" s="19" t="n">
        <v>1</v>
      </c>
      <c r="I14" s="20">
        <f>IF(G14="","",CEILING(G14*H14*2,1)-0.01)</f>
        <v/>
      </c>
      <c r="J14" s="18" t="n"/>
      <c r="K14" s="16" t="n"/>
      <c r="L14" s="16" t="n"/>
      <c r="M14" s="14" t="inlineStr"/>
    </row>
    <row r="15">
      <c r="A15" s="13" t="n">
        <v>2</v>
      </c>
      <c r="B15" s="14" t="inlineStr">
        <is>
          <t>Flower Shape Himalayan Rock Salt Lamp</t>
        </is>
      </c>
      <c r="C15" s="15" t="inlineStr">
        <is>
          <t>—</t>
        </is>
      </c>
      <c r="D15" s="16" t="inlineStr">
        <is>
          <t>RSL-F</t>
        </is>
      </c>
      <c r="E15" s="14" t="inlineStr">
        <is>
          <t>Salt lamps</t>
        </is>
      </c>
      <c r="F15" s="17" t="n">
        <v>29.99</v>
      </c>
      <c r="G15" s="18" t="n">
        <v>15</v>
      </c>
      <c r="H15" s="19" t="n">
        <v>1</v>
      </c>
      <c r="I15" s="20">
        <f>IF(G15="","",CEILING(G15*H15*2,1)-0.01)</f>
        <v/>
      </c>
      <c r="J15" s="18" t="n"/>
      <c r="K15" s="16" t="n"/>
      <c r="L15" s="16" t="n"/>
      <c r="M15" s="14" t="inlineStr"/>
    </row>
    <row r="16">
      <c r="A16" s="13" t="n">
        <v>67</v>
      </c>
      <c r="B16" s="14" t="inlineStr">
        <is>
          <t>Himalayan Crystal Bath Salt</t>
        </is>
      </c>
      <c r="C16" s="15" t="inlineStr">
        <is>
          <t>1Kg</t>
        </is>
      </c>
      <c r="D16" s="16" t="inlineStr">
        <is>
          <t>BS-1000</t>
        </is>
      </c>
      <c r="E16" s="14" t="inlineStr">
        <is>
          <t>Massage and relaxation</t>
        </is>
      </c>
      <c r="F16" s="17" t="n">
        <v>4.49</v>
      </c>
      <c r="G16" s="18" t="n"/>
      <c r="H16" s="19" t="n">
        <v>1</v>
      </c>
      <c r="I16" s="20">
        <f>IF(G16="","",CEILING(G16*H16*2,1)-0.01)</f>
        <v/>
      </c>
      <c r="J16" s="18" t="n"/>
      <c r="K16" s="16" t="n"/>
      <c r="L16" s="16" t="n"/>
      <c r="M16" s="21" t="inlineStr">
        <is>
          <t>No cost on the 2025 list — please add one.</t>
        </is>
      </c>
    </row>
    <row r="17">
      <c r="A17" s="13" t="n">
        <v>68</v>
      </c>
      <c r="B17" s="14" t="inlineStr">
        <is>
          <t>Himalayan Crystal Bath Salt</t>
        </is>
      </c>
      <c r="C17" s="15" t="inlineStr">
        <is>
          <t>5Kg</t>
        </is>
      </c>
      <c r="D17" s="16" t="inlineStr">
        <is>
          <t>BS-5000</t>
        </is>
      </c>
      <c r="E17" s="14" t="inlineStr">
        <is>
          <t>Massage and relaxation</t>
        </is>
      </c>
      <c r="F17" s="17" t="n">
        <v>4.49</v>
      </c>
      <c r="G17" s="18" t="n"/>
      <c r="H17" s="19" t="n">
        <v>1</v>
      </c>
      <c r="I17" s="20">
        <f>IF(G17="","",CEILING(G17*H17*2,1)-0.01)</f>
        <v/>
      </c>
      <c r="J17" s="18" t="n"/>
      <c r="K17" s="16" t="n"/>
      <c r="L17" s="16" t="n"/>
      <c r="M17" s="21" t="inlineStr">
        <is>
          <t>No cost on the 2025 list — please add one.</t>
        </is>
      </c>
    </row>
    <row r="18">
      <c r="A18" s="13" t="n">
        <v>69</v>
      </c>
      <c r="B18" s="14" t="inlineStr">
        <is>
          <t>Himalayan Crystal Bath Salt</t>
        </is>
      </c>
      <c r="C18" s="15" t="inlineStr">
        <is>
          <t>10Kg</t>
        </is>
      </c>
      <c r="D18" s="16" t="inlineStr">
        <is>
          <t>BS-10</t>
        </is>
      </c>
      <c r="E18" s="14" t="inlineStr">
        <is>
          <t>Massage and relaxation</t>
        </is>
      </c>
      <c r="F18" s="17" t="n">
        <v>4.49</v>
      </c>
      <c r="G18" s="18" t="n"/>
      <c r="H18" s="19" t="n">
        <v>1</v>
      </c>
      <c r="I18" s="20">
        <f>IF(G18="","",CEILING(G18*H18*2,1)-0.01)</f>
        <v/>
      </c>
      <c r="J18" s="18" t="n"/>
      <c r="K18" s="16" t="n"/>
      <c r="L18" s="16" t="n"/>
      <c r="M18" s="21" t="inlineStr">
        <is>
          <t>No cost on the 2025 list — please add one.</t>
        </is>
      </c>
    </row>
    <row r="19">
      <c r="A19" s="13" t="n">
        <v>52</v>
      </c>
      <c r="B19" s="14" t="inlineStr">
        <is>
          <t>Himalayan Crystal Rock Salt / Culinary Salt</t>
        </is>
      </c>
      <c r="C19" s="15" t="inlineStr">
        <is>
          <t>1Kg / Fine</t>
        </is>
      </c>
      <c r="D19" s="16" t="inlineStr">
        <is>
          <t>CUL-1000</t>
        </is>
      </c>
      <c r="E19" s="14" t="inlineStr">
        <is>
          <t>Kitchen saltware</t>
        </is>
      </c>
      <c r="F19" s="17" t="n">
        <v>2.99</v>
      </c>
      <c r="G19" s="18" t="n">
        <v>1.5</v>
      </c>
      <c r="H19" s="19" t="n">
        <v>1</v>
      </c>
      <c r="I19" s="20">
        <f>IF(G19="","",CEILING(G19*H19*2,1)-0.01)</f>
        <v/>
      </c>
      <c r="J19" s="18" t="n"/>
      <c r="K19" s="16" t="n"/>
      <c r="L19" s="16" t="n"/>
      <c r="M19" s="14" t="inlineStr"/>
    </row>
    <row r="20">
      <c r="A20" s="13" t="n">
        <v>53</v>
      </c>
      <c r="B20" s="14" t="inlineStr">
        <is>
          <t>Himalayan Crystal Rock Salt / Culinary Salt</t>
        </is>
      </c>
      <c r="C20" s="15" t="inlineStr">
        <is>
          <t>1Kg / Coarse</t>
        </is>
      </c>
      <c r="D20" s="16" t="inlineStr">
        <is>
          <t>CUL-1000C</t>
        </is>
      </c>
      <c r="E20" s="14" t="inlineStr">
        <is>
          <t>Kitchen saltware</t>
        </is>
      </c>
      <c r="F20" s="17" t="n">
        <v>2.99</v>
      </c>
      <c r="G20" s="18" t="n">
        <v>1.5</v>
      </c>
      <c r="H20" s="19" t="n">
        <v>1</v>
      </c>
      <c r="I20" s="20">
        <f>IF(G20="","",CEILING(G20*H20*2,1)-0.01)</f>
        <v/>
      </c>
      <c r="J20" s="18" t="n"/>
      <c r="K20" s="16" t="n"/>
      <c r="L20" s="16" t="n"/>
      <c r="M20" s="14" t="inlineStr"/>
    </row>
    <row r="21">
      <c r="A21" s="13" t="n">
        <v>54</v>
      </c>
      <c r="B21" s="14" t="inlineStr">
        <is>
          <t>Himalayan Crystal Rock Salt / Culinary Salt</t>
        </is>
      </c>
      <c r="C21" s="15" t="inlineStr">
        <is>
          <t>5Kg / Fine</t>
        </is>
      </c>
      <c r="D21" s="16" t="inlineStr">
        <is>
          <t>CUL-5000</t>
        </is>
      </c>
      <c r="E21" s="14" t="inlineStr">
        <is>
          <t>Kitchen saltware</t>
        </is>
      </c>
      <c r="F21" s="17" t="n">
        <v>13.99</v>
      </c>
      <c r="G21" s="18" t="n">
        <v>7</v>
      </c>
      <c r="H21" s="19" t="n">
        <v>1</v>
      </c>
      <c r="I21" s="20">
        <f>IF(G21="","",CEILING(G21*H21*2,1)-0.01)</f>
        <v/>
      </c>
      <c r="J21" s="18" t="n"/>
      <c r="K21" s="16" t="n"/>
      <c r="L21" s="16" t="n"/>
      <c r="M21" s="14" t="inlineStr"/>
    </row>
    <row r="22">
      <c r="A22" s="13" t="n">
        <v>55</v>
      </c>
      <c r="B22" s="14" t="inlineStr">
        <is>
          <t>Himalayan Crystal Rock Salt / Culinary Salt</t>
        </is>
      </c>
      <c r="C22" s="15" t="inlineStr">
        <is>
          <t>5Kg / Coarse</t>
        </is>
      </c>
      <c r="D22" s="16" t="inlineStr">
        <is>
          <t>CUL-5000C</t>
        </is>
      </c>
      <c r="E22" s="14" t="inlineStr">
        <is>
          <t>Kitchen saltware</t>
        </is>
      </c>
      <c r="F22" s="17" t="n">
        <v>13.99</v>
      </c>
      <c r="G22" s="18" t="n">
        <v>7</v>
      </c>
      <c r="H22" s="19" t="n">
        <v>1</v>
      </c>
      <c r="I22" s="20">
        <f>IF(G22="","",CEILING(G22*H22*2,1)-0.01)</f>
        <v/>
      </c>
      <c r="J22" s="18" t="n"/>
      <c r="K22" s="16" t="n"/>
      <c r="L22" s="16" t="n"/>
      <c r="M22" s="14" t="inlineStr"/>
    </row>
    <row r="23">
      <c r="A23" s="13" t="n">
        <v>56</v>
      </c>
      <c r="B23" s="14" t="inlineStr">
        <is>
          <t>Himalayan Crystal Rock Salt / Culinary Salt</t>
        </is>
      </c>
      <c r="C23" s="15" t="inlineStr">
        <is>
          <t>10Kg / Fine</t>
        </is>
      </c>
      <c r="D23" s="16" t="inlineStr">
        <is>
          <t>CUL-10</t>
        </is>
      </c>
      <c r="E23" s="14" t="inlineStr">
        <is>
          <t>Kitchen saltware</t>
        </is>
      </c>
      <c r="F23" s="17" t="n">
        <v>27.99</v>
      </c>
      <c r="G23" s="18" t="n"/>
      <c r="H23" s="19" t="n">
        <v>1</v>
      </c>
      <c r="I23" s="20">
        <f>IF(G23="","",CEILING(G23*H23*2,1)-0.01)</f>
        <v/>
      </c>
      <c r="J23" s="18" t="n"/>
      <c r="K23" s="16" t="n"/>
      <c r="L23" s="16" t="n"/>
      <c r="M23" s="21" t="inlineStr">
        <is>
          <t>No cost on the 2025 list — please add one.</t>
        </is>
      </c>
    </row>
    <row r="24">
      <c r="A24" s="13" t="n">
        <v>57</v>
      </c>
      <c r="B24" s="14" t="inlineStr">
        <is>
          <t>Himalayan Crystal Rock Salt / Culinary Salt</t>
        </is>
      </c>
      <c r="C24" s="15" t="inlineStr">
        <is>
          <t>10Kg / Coarse</t>
        </is>
      </c>
      <c r="D24" s="16" t="inlineStr">
        <is>
          <t>CUL-10C</t>
        </is>
      </c>
      <c r="E24" s="14" t="inlineStr">
        <is>
          <t>Kitchen saltware</t>
        </is>
      </c>
      <c r="F24" s="17" t="n">
        <v>27.99</v>
      </c>
      <c r="G24" s="18" t="n"/>
      <c r="H24" s="19" t="n">
        <v>1</v>
      </c>
      <c r="I24" s="20">
        <f>IF(G24="","",CEILING(G24*H24*2,1)-0.01)</f>
        <v/>
      </c>
      <c r="J24" s="18" t="n"/>
      <c r="K24" s="16" t="n"/>
      <c r="L24" s="16" t="n"/>
      <c r="M24" s="21" t="inlineStr">
        <is>
          <t>No cost on the 2025 list — please add one.</t>
        </is>
      </c>
    </row>
    <row r="25">
      <c r="A25" s="13" t="n">
        <v>72</v>
      </c>
      <c r="B25" s="14" t="inlineStr">
        <is>
          <t>Himalayan Crystal Rock Salt Candle Holder / Goblet Shape</t>
        </is>
      </c>
      <c r="C25" s="15" t="inlineStr">
        <is>
          <t>—</t>
        </is>
      </c>
      <c r="D25" s="16" t="inlineStr">
        <is>
          <t>TCG</t>
        </is>
      </c>
      <c r="E25" s="14" t="inlineStr">
        <is>
          <t>Candle holders</t>
        </is>
      </c>
      <c r="F25" s="17" t="n">
        <v>7.99</v>
      </c>
      <c r="G25" s="18" t="n">
        <v>3.5</v>
      </c>
      <c r="H25" s="19" t="n">
        <v>1</v>
      </c>
      <c r="I25" s="20">
        <f>IF(G25="","",CEILING(G25*H25*2,1)-0.01)</f>
        <v/>
      </c>
      <c r="J25" s="18" t="n"/>
      <c r="K25" s="16" t="n"/>
      <c r="L25" s="16" t="n"/>
      <c r="M25" s="14" t="inlineStr"/>
    </row>
    <row r="26">
      <c r="A26" s="13" t="n">
        <v>14</v>
      </c>
      <c r="B26" s="14" t="inlineStr">
        <is>
          <t>Himalayan Rock Salt Bowl – Natural Pink Salt Serving Bowl for Salads, Soups etc.</t>
        </is>
      </c>
      <c r="C26" s="15" t="inlineStr">
        <is>
          <t>8" Dia</t>
        </is>
      </c>
      <c r="D26" s="16" t="inlineStr">
        <is>
          <t>SB-04</t>
        </is>
      </c>
      <c r="E26" s="14" t="inlineStr">
        <is>
          <t>Kitchen saltware</t>
        </is>
      </c>
      <c r="F26" s="17" t="n">
        <v>19.99</v>
      </c>
      <c r="G26" s="18" t="n">
        <v>10</v>
      </c>
      <c r="H26" s="19" t="n">
        <v>1</v>
      </c>
      <c r="I26" s="20">
        <f>IF(G26="","",CEILING(G26*H26*2,1)-0.01)</f>
        <v/>
      </c>
      <c r="J26" s="18" t="n"/>
      <c r="K26" s="16" t="n"/>
      <c r="L26" s="16" t="n"/>
      <c r="M26" s="14" t="inlineStr"/>
    </row>
    <row r="27">
      <c r="A27" s="13" t="n">
        <v>15</v>
      </c>
      <c r="B27" s="14" t="inlineStr">
        <is>
          <t>Himalayan Rock Salt Bowl – Natural Pink Salt Serving Bowl for Salads, Soups etc.</t>
        </is>
      </c>
      <c r="C27" s="15" t="inlineStr">
        <is>
          <t>10" Dia</t>
        </is>
      </c>
      <c r="D27" s="16" t="inlineStr">
        <is>
          <t>SB-06</t>
        </is>
      </c>
      <c r="E27" s="14" t="inlineStr">
        <is>
          <t>Kitchen saltware</t>
        </is>
      </c>
      <c r="F27" s="17" t="n">
        <v>23.99</v>
      </c>
      <c r="G27" s="18" t="n">
        <v>12</v>
      </c>
      <c r="H27" s="19" t="n">
        <v>1</v>
      </c>
      <c r="I27" s="20">
        <f>IF(G27="","",CEILING(G27*H27*2,1)-0.01)</f>
        <v/>
      </c>
      <c r="J27" s="18" t="n"/>
      <c r="K27" s="16" t="n"/>
      <c r="L27" s="16" t="n"/>
      <c r="M27" s="14" t="inlineStr"/>
    </row>
    <row r="28">
      <c r="A28" s="13" t="n">
        <v>16</v>
      </c>
      <c r="B28" s="14" t="inlineStr">
        <is>
          <t>Himalayan Rock Salt Bowl – Natural Pink Salt Serving Bowl for Salads, Soups etc.</t>
        </is>
      </c>
      <c r="C28" s="15" t="inlineStr">
        <is>
          <t>2.5" Dia</t>
        </is>
      </c>
      <c r="D28" s="16" t="inlineStr">
        <is>
          <t>SB-05</t>
        </is>
      </c>
      <c r="E28" s="14" t="inlineStr">
        <is>
          <t>Kitchen saltware</t>
        </is>
      </c>
      <c r="F28" s="17" t="n">
        <v>4.99</v>
      </c>
      <c r="G28" s="18" t="n">
        <v>2.5</v>
      </c>
      <c r="H28" s="19" t="n">
        <v>1</v>
      </c>
      <c r="I28" s="20">
        <f>IF(G28="","",CEILING(G28*H28*2,1)-0.01)</f>
        <v/>
      </c>
      <c r="J28" s="18" t="n"/>
      <c r="K28" s="16" t="n"/>
      <c r="L28" s="16" t="n"/>
      <c r="M28" s="14" t="inlineStr"/>
    </row>
    <row r="29">
      <c r="A29" s="13" t="n">
        <v>17</v>
      </c>
      <c r="B29" s="14" t="inlineStr">
        <is>
          <t>Himalayan Rock Salt Bowl – Natural Pink Salt Serving Bowl for Salads, Soups etc.</t>
        </is>
      </c>
      <c r="C29" s="15" t="inlineStr">
        <is>
          <t>6" Dia</t>
        </is>
      </c>
      <c r="D29" s="16" t="inlineStr">
        <is>
          <t>SB-03</t>
        </is>
      </c>
      <c r="E29" s="14" t="inlineStr">
        <is>
          <t>Kitchen saltware</t>
        </is>
      </c>
      <c r="F29" s="17" t="n">
        <v>15.99</v>
      </c>
      <c r="G29" s="18" t="n">
        <v>8</v>
      </c>
      <c r="H29" s="19" t="n">
        <v>1</v>
      </c>
      <c r="I29" s="20">
        <f>IF(G29="","",CEILING(G29*H29*2,1)-0.01)</f>
        <v/>
      </c>
      <c r="J29" s="18" t="n"/>
      <c r="K29" s="16" t="n"/>
      <c r="L29" s="16" t="n"/>
      <c r="M29" s="14" t="inlineStr"/>
    </row>
    <row r="30">
      <c r="A30" s="13" t="n">
        <v>3</v>
      </c>
      <c r="B30" s="14" t="inlineStr">
        <is>
          <t>Himalayan Rock Salt Bricks for Salt Walls</t>
        </is>
      </c>
      <c r="C30" s="15" t="inlineStr">
        <is>
          <t>ST-842</t>
        </is>
      </c>
      <c r="D30" s="16" t="inlineStr">
        <is>
          <t>ST-842</t>
        </is>
      </c>
      <c r="E30" s="14" t="inlineStr">
        <is>
          <t>Salt bricks</t>
        </is>
      </c>
      <c r="F30" s="17" t="n">
        <v>7.99</v>
      </c>
      <c r="G30" s="18" t="n">
        <v>4</v>
      </c>
      <c r="H30" s="19" t="n">
        <v>1</v>
      </c>
      <c r="I30" s="20">
        <f>IF(G30="","",CEILING(G30*H30*2,1)-0.01)</f>
        <v/>
      </c>
      <c r="J30" s="18" t="n"/>
      <c r="K30" s="16" t="n"/>
      <c r="L30" s="16" t="n"/>
      <c r="M30" s="14" t="inlineStr"/>
    </row>
    <row r="31">
      <c r="A31" s="13" t="n">
        <v>4</v>
      </c>
      <c r="B31" s="14" t="inlineStr">
        <is>
          <t>Himalayan Rock Salt Bricks for Salt Walls</t>
        </is>
      </c>
      <c r="C31" s="15" t="inlineStr">
        <is>
          <t>ST-841</t>
        </is>
      </c>
      <c r="D31" s="16" t="inlineStr">
        <is>
          <t>ST-841</t>
        </is>
      </c>
      <c r="E31" s="14" t="inlineStr">
        <is>
          <t>Salt bricks</t>
        </is>
      </c>
      <c r="F31" s="17" t="n">
        <v>6.99</v>
      </c>
      <c r="G31" s="18" t="n">
        <v>3.5</v>
      </c>
      <c r="H31" s="19" t="n">
        <v>1</v>
      </c>
      <c r="I31" s="20">
        <f>IF(G31="","",CEILING(G31*H31*2,1)-0.01)</f>
        <v/>
      </c>
      <c r="J31" s="18" t="n"/>
      <c r="K31" s="16" t="n"/>
      <c r="L31" s="16" t="n"/>
      <c r="M31" s="14" t="inlineStr"/>
    </row>
    <row r="32">
      <c r="A32" s="13" t="n">
        <v>7</v>
      </c>
      <c r="B32" s="14" t="inlineStr">
        <is>
          <t>Himalayan Rock Salt Candle Holder (Ball / Sphere Shape)</t>
        </is>
      </c>
      <c r="C32" s="15" t="inlineStr">
        <is>
          <t>—</t>
        </is>
      </c>
      <c r="D32" s="16" t="inlineStr">
        <is>
          <t>product_0b00a2a3-b2c1-3a42-23e4-3c35749dfb19-default</t>
        </is>
      </c>
      <c r="E32" s="14" t="inlineStr">
        <is>
          <t>Candle holders</t>
        </is>
      </c>
      <c r="F32" s="17" t="n">
        <v>7.99</v>
      </c>
      <c r="G32" s="18" t="n"/>
      <c r="H32" s="19" t="n">
        <v>1</v>
      </c>
      <c r="I32" s="20">
        <f>IF(G32="","",CEILING(G32*H32*2,1)-0.01)</f>
        <v/>
      </c>
      <c r="J32" s="18" t="n"/>
      <c r="K32" s="16" t="n"/>
      <c r="L32" s="16" t="n"/>
      <c r="M32" s="21" t="inlineStr">
        <is>
          <t>NEEDS A REAL CODE. This is a leftover from the old website's export, not a product code. Please give it a proper one.</t>
        </is>
      </c>
    </row>
    <row r="33">
      <c r="A33" s="13" t="n">
        <v>5</v>
      </c>
      <c r="B33" s="14" t="inlineStr">
        <is>
          <t>Himalayan Rock Salt Candle Holder (Block / Square Shape)</t>
        </is>
      </c>
      <c r="C33" s="15" t="inlineStr">
        <is>
          <t>Large</t>
        </is>
      </c>
      <c r="D33" s="16" t="inlineStr">
        <is>
          <t>TCCL</t>
        </is>
      </c>
      <c r="E33" s="14" t="inlineStr">
        <is>
          <t>Candle holders</t>
        </is>
      </c>
      <c r="F33" s="17" t="n">
        <v>7.99</v>
      </c>
      <c r="G33" s="18" t="n">
        <v>4</v>
      </c>
      <c r="H33" s="19" t="n">
        <v>1</v>
      </c>
      <c r="I33" s="20">
        <f>IF(G33="","",CEILING(G33*H33*2,1)-0.01)</f>
        <v/>
      </c>
      <c r="J33" s="18" t="n"/>
      <c r="K33" s="16" t="n"/>
      <c r="L33" s="16" t="n"/>
      <c r="M33" s="14" t="inlineStr"/>
    </row>
    <row r="34">
      <c r="A34" s="13" t="n">
        <v>6</v>
      </c>
      <c r="B34" s="14" t="inlineStr">
        <is>
          <t>Himalayan Rock Salt Candle Holder (Block / Square Shape)</t>
        </is>
      </c>
      <c r="C34" s="15" t="inlineStr">
        <is>
          <t>Small</t>
        </is>
      </c>
      <c r="D34" s="16" t="inlineStr">
        <is>
          <t>TCC</t>
        </is>
      </c>
      <c r="E34" s="14" t="inlineStr">
        <is>
          <t>Candle holders</t>
        </is>
      </c>
      <c r="F34" s="17" t="n">
        <v>6.99</v>
      </c>
      <c r="G34" s="18" t="n">
        <v>3.5</v>
      </c>
      <c r="H34" s="19" t="n">
        <v>1</v>
      </c>
      <c r="I34" s="20">
        <f>IF(G34="","",CEILING(G34*H34*2,1)-0.01)</f>
        <v/>
      </c>
      <c r="J34" s="18" t="n"/>
      <c r="K34" s="16" t="n"/>
      <c r="L34" s="16" t="n"/>
      <c r="M34" s="14" t="inlineStr"/>
    </row>
    <row r="35">
      <c r="A35" s="13" t="n">
        <v>34</v>
      </c>
      <c r="B35" s="14" t="inlineStr">
        <is>
          <t>Himalayan Rock Salt Candle Holder (Heart Shape)</t>
        </is>
      </c>
      <c r="C35" s="15" t="inlineStr">
        <is>
          <t>—</t>
        </is>
      </c>
      <c r="D35" s="16" t="inlineStr">
        <is>
          <t>TCH</t>
        </is>
      </c>
      <c r="E35" s="14" t="inlineStr">
        <is>
          <t>Candle holders</t>
        </is>
      </c>
      <c r="F35" s="17" t="n">
        <v>7.99</v>
      </c>
      <c r="G35" s="18" t="n">
        <v>3.5</v>
      </c>
      <c r="H35" s="19" t="n">
        <v>1</v>
      </c>
      <c r="I35" s="20">
        <f>IF(G35="","",CEILING(G35*H35*2,1)-0.01)</f>
        <v/>
      </c>
      <c r="J35" s="18" t="n"/>
      <c r="K35" s="16" t="n"/>
      <c r="L35" s="16" t="n"/>
      <c r="M35" s="14" t="inlineStr"/>
    </row>
    <row r="36">
      <c r="A36" s="13" t="n">
        <v>70</v>
      </c>
      <c r="B36" s="14" t="inlineStr">
        <is>
          <t>Himalayan Rock Salt Candle Holder Natural Shape</t>
        </is>
      </c>
      <c r="C36" s="15" t="inlineStr">
        <is>
          <t>Small</t>
        </is>
      </c>
      <c r="D36" s="16" t="inlineStr">
        <is>
          <t>TC-1</t>
        </is>
      </c>
      <c r="E36" s="14" t="inlineStr">
        <is>
          <t>Candle holders</t>
        </is>
      </c>
      <c r="F36" s="17" t="n">
        <v>4.99</v>
      </c>
      <c r="G36" s="18" t="n">
        <v>2.2</v>
      </c>
      <c r="H36" s="19" t="n">
        <v>1</v>
      </c>
      <c r="I36" s="20">
        <f>IF(G36="","",CEILING(G36*H36*2,1)-0.01)</f>
        <v/>
      </c>
      <c r="J36" s="18" t="n"/>
      <c r="K36" s="16" t="n"/>
      <c r="L36" s="16" t="n"/>
      <c r="M36" s="14" t="inlineStr"/>
    </row>
    <row r="37">
      <c r="A37" s="13" t="n">
        <v>71</v>
      </c>
      <c r="B37" s="14" t="inlineStr">
        <is>
          <t>Himalayan Rock Salt Candle Holder Natural Shape</t>
        </is>
      </c>
      <c r="C37" s="15" t="inlineStr">
        <is>
          <t>Large</t>
        </is>
      </c>
      <c r="D37" s="16" t="inlineStr">
        <is>
          <t>TC-2</t>
        </is>
      </c>
      <c r="E37" s="14" t="inlineStr">
        <is>
          <t>Candle holders</t>
        </is>
      </c>
      <c r="F37" s="17" t="n">
        <v>5.99</v>
      </c>
      <c r="G37" s="18" t="n">
        <v>3</v>
      </c>
      <c r="H37" s="19" t="n">
        <v>1</v>
      </c>
      <c r="I37" s="20">
        <f>IF(G37="","",CEILING(G37*H37*2,1)-0.01)</f>
        <v/>
      </c>
      <c r="J37" s="18" t="n"/>
      <c r="K37" s="16" t="n"/>
      <c r="L37" s="16" t="n"/>
      <c r="M37" s="14" t="inlineStr"/>
    </row>
    <row r="38">
      <c r="A38" s="13" t="n">
        <v>21</v>
      </c>
      <c r="B38" s="14" t="inlineStr">
        <is>
          <t>Himalayan Rock Salt Lick for Equestrian &amp; Cattle</t>
        </is>
      </c>
      <c r="C38" s="15" t="inlineStr">
        <is>
          <t>4-5Kg / 4pc</t>
        </is>
      </c>
      <c r="D38" s="16" t="inlineStr">
        <is>
          <t>SL-3 (4)</t>
        </is>
      </c>
      <c r="E38" s="14" t="inlineStr">
        <is>
          <t>Equestrian salt licks</t>
        </is>
      </c>
      <c r="F38" s="17" t="n">
        <v>39.99</v>
      </c>
      <c r="G38" s="18" t="n">
        <v>5</v>
      </c>
      <c r="H38" s="19" t="n">
        <v>4</v>
      </c>
      <c r="I38" s="20">
        <f>IF(G38="","",CEILING(G38*H38*2,1)-0.01)</f>
        <v/>
      </c>
      <c r="J38" s="18" t="n"/>
      <c r="K38" s="16" t="n"/>
      <c r="L38" s="16" t="n"/>
      <c r="M38" s="14" t="inlineStr"/>
    </row>
    <row r="39">
      <c r="A39" s="13" t="n">
        <v>22</v>
      </c>
      <c r="B39" s="14" t="inlineStr">
        <is>
          <t>Himalayan Rock Salt Lick for Equestrian &amp; Cattle</t>
        </is>
      </c>
      <c r="C39" s="15" t="inlineStr">
        <is>
          <t>1-1.5Kg / 4pc</t>
        </is>
      </c>
      <c r="D39" s="16" t="inlineStr">
        <is>
          <t>SL-1 (4)</t>
        </is>
      </c>
      <c r="E39" s="14" t="inlineStr">
        <is>
          <t>Equestrian salt licks</t>
        </is>
      </c>
      <c r="F39" s="17" t="n">
        <v>19.99</v>
      </c>
      <c r="G39" s="18" t="n">
        <v>2.5</v>
      </c>
      <c r="H39" s="19" t="n">
        <v>4</v>
      </c>
      <c r="I39" s="20">
        <f>IF(G39="","",CEILING(G39*H39*2,1)-0.01)</f>
        <v/>
      </c>
      <c r="J39" s="18" t="n"/>
      <c r="K39" s="16" t="n"/>
      <c r="L39" s="16" t="n"/>
      <c r="M39" s="14" t="inlineStr"/>
    </row>
    <row r="40">
      <c r="A40" s="13" t="n">
        <v>23</v>
      </c>
      <c r="B40" s="14" t="inlineStr">
        <is>
          <t>Himalayan Rock Salt Lick for Equestrian &amp; Cattle</t>
        </is>
      </c>
      <c r="C40" s="15" t="inlineStr">
        <is>
          <t>1-1.5Kg / 12pc</t>
        </is>
      </c>
      <c r="D40" s="16" t="inlineStr">
        <is>
          <t>SL-1 (12)</t>
        </is>
      </c>
      <c r="E40" s="14" t="inlineStr">
        <is>
          <t>Equestrian salt licks</t>
        </is>
      </c>
      <c r="F40" s="17" t="n">
        <v>59.99</v>
      </c>
      <c r="G40" s="18" t="n">
        <v>2.5</v>
      </c>
      <c r="H40" s="19" t="n">
        <v>12</v>
      </c>
      <c r="I40" s="20">
        <f>IF(G40="","",CEILING(G40*H40*2,1)-0.01)</f>
        <v/>
      </c>
      <c r="J40" s="18" t="n"/>
      <c r="K40" s="16" t="n"/>
      <c r="L40" s="16" t="n"/>
      <c r="M40" s="14" t="inlineStr"/>
    </row>
    <row r="41">
      <c r="A41" s="13" t="n">
        <v>24</v>
      </c>
      <c r="B41" s="14" t="inlineStr">
        <is>
          <t>Himalayan Rock Salt Lick for Equestrian &amp; Cattle</t>
        </is>
      </c>
      <c r="C41" s="15" t="inlineStr">
        <is>
          <t>1-1.5Kg / 2pc</t>
        </is>
      </c>
      <c r="D41" s="16" t="inlineStr">
        <is>
          <t>SL-1 (2)</t>
        </is>
      </c>
      <c r="E41" s="14" t="inlineStr">
        <is>
          <t>Equestrian salt licks</t>
        </is>
      </c>
      <c r="F41" s="17" t="n">
        <v>9.99</v>
      </c>
      <c r="G41" s="18" t="n">
        <v>2.5</v>
      </c>
      <c r="H41" s="19" t="n">
        <v>2</v>
      </c>
      <c r="I41" s="20">
        <f>IF(G41="","",CEILING(G41*H41*2,1)-0.01)</f>
        <v/>
      </c>
      <c r="J41" s="18" t="n"/>
      <c r="K41" s="16" t="n"/>
      <c r="L41" s="16" t="n"/>
      <c r="M41" s="14" t="inlineStr"/>
    </row>
    <row r="42">
      <c r="A42" s="13" t="n">
        <v>25</v>
      </c>
      <c r="B42" s="14" t="inlineStr">
        <is>
          <t>Himalayan Rock Salt Lick for Equestrian &amp; Cattle</t>
        </is>
      </c>
      <c r="C42" s="15" t="inlineStr">
        <is>
          <t>4-5Kg / 1pc</t>
        </is>
      </c>
      <c r="D42" s="16" t="inlineStr">
        <is>
          <t>SL-3</t>
        </is>
      </c>
      <c r="E42" s="14" t="inlineStr">
        <is>
          <t>Equestrian salt licks</t>
        </is>
      </c>
      <c r="F42" s="17" t="n">
        <v>9.99</v>
      </c>
      <c r="G42" s="18" t="n">
        <v>5</v>
      </c>
      <c r="H42" s="19" t="n">
        <v>1</v>
      </c>
      <c r="I42" s="20">
        <f>IF(G42="","",CEILING(G42*H42*2,1)-0.01)</f>
        <v/>
      </c>
      <c r="J42" s="18" t="n"/>
      <c r="K42" s="16" t="n"/>
      <c r="L42" s="16" t="n"/>
      <c r="M42" s="14" t="inlineStr"/>
    </row>
    <row r="43">
      <c r="A43" s="13" t="n">
        <v>26</v>
      </c>
      <c r="B43" s="14" t="inlineStr">
        <is>
          <t>Himalayan Rock Salt Lick for Equestrian &amp; Cattle</t>
        </is>
      </c>
      <c r="C43" s="15" t="inlineStr">
        <is>
          <t>2-3Kg / 12pc</t>
        </is>
      </c>
      <c r="D43" s="16" t="inlineStr">
        <is>
          <t>SL-2 (12)</t>
        </is>
      </c>
      <c r="E43" s="14" t="inlineStr">
        <is>
          <t>Equestrian salt licks</t>
        </is>
      </c>
      <c r="F43" s="17" t="n">
        <v>83.98999999999999</v>
      </c>
      <c r="G43" s="18" t="n">
        <v>3.5</v>
      </c>
      <c r="H43" s="19" t="n">
        <v>12</v>
      </c>
      <c r="I43" s="20">
        <f>IF(G43="","",CEILING(G43*H43*2,1)-0.01)</f>
        <v/>
      </c>
      <c r="J43" s="18" t="n"/>
      <c r="K43" s="16" t="n"/>
      <c r="L43" s="16" t="n"/>
      <c r="M43" s="14" t="inlineStr"/>
    </row>
    <row r="44">
      <c r="A44" s="13" t="n">
        <v>27</v>
      </c>
      <c r="B44" s="14" t="inlineStr">
        <is>
          <t>Himalayan Rock Salt Lick for Equestrian &amp; Cattle</t>
        </is>
      </c>
      <c r="C44" s="15" t="inlineStr">
        <is>
          <t>4-5Kg / 12pc</t>
        </is>
      </c>
      <c r="D44" s="16" t="inlineStr">
        <is>
          <t>SL-3 (12)</t>
        </is>
      </c>
      <c r="E44" s="14" t="inlineStr">
        <is>
          <t>Equestrian salt licks</t>
        </is>
      </c>
      <c r="F44" s="17" t="n">
        <v>119.99</v>
      </c>
      <c r="G44" s="18" t="n">
        <v>5</v>
      </c>
      <c r="H44" s="19" t="n">
        <v>12</v>
      </c>
      <c r="I44" s="20">
        <f>IF(G44="","",CEILING(G44*H44*2,1)-0.01)</f>
        <v/>
      </c>
      <c r="J44" s="18" t="n"/>
      <c r="K44" s="16" t="n"/>
      <c r="L44" s="16" t="n"/>
      <c r="M44" s="14" t="inlineStr"/>
    </row>
    <row r="45">
      <c r="A45" s="13" t="n">
        <v>28</v>
      </c>
      <c r="B45" s="14" t="inlineStr">
        <is>
          <t>Himalayan Rock Salt Lick for Equestrian &amp; Cattle</t>
        </is>
      </c>
      <c r="C45" s="15" t="inlineStr">
        <is>
          <t>4-5Kg / 2pc</t>
        </is>
      </c>
      <c r="D45" s="16" t="inlineStr">
        <is>
          <t>SL-3 (2)</t>
        </is>
      </c>
      <c r="E45" s="14" t="inlineStr">
        <is>
          <t>Equestrian salt licks</t>
        </is>
      </c>
      <c r="F45" s="17" t="n">
        <v>19.99</v>
      </c>
      <c r="G45" s="18" t="n">
        <v>5</v>
      </c>
      <c r="H45" s="19" t="n">
        <v>2</v>
      </c>
      <c r="I45" s="20">
        <f>IF(G45="","",CEILING(G45*H45*2,1)-0.01)</f>
        <v/>
      </c>
      <c r="J45" s="18" t="n"/>
      <c r="K45" s="16" t="n"/>
      <c r="L45" s="16" t="n"/>
      <c r="M45" s="14" t="inlineStr"/>
    </row>
    <row r="46">
      <c r="A46" s="13" t="n">
        <v>29</v>
      </c>
      <c r="B46" s="14" t="inlineStr">
        <is>
          <t>Himalayan Rock Salt Lick for Equestrian &amp; Cattle</t>
        </is>
      </c>
      <c r="C46" s="15" t="inlineStr">
        <is>
          <t>1-1.5Kg / 1pc</t>
        </is>
      </c>
      <c r="D46" s="16" t="inlineStr">
        <is>
          <t>SL-1</t>
        </is>
      </c>
      <c r="E46" s="14" t="inlineStr">
        <is>
          <t>Equestrian salt licks</t>
        </is>
      </c>
      <c r="F46" s="17" t="n">
        <v>4.99</v>
      </c>
      <c r="G46" s="18" t="n">
        <v>2.5</v>
      </c>
      <c r="H46" s="19" t="n">
        <v>1</v>
      </c>
      <c r="I46" s="20">
        <f>IF(G46="","",CEILING(G46*H46*2,1)-0.01)</f>
        <v/>
      </c>
      <c r="J46" s="18" t="n"/>
      <c r="K46" s="16" t="n"/>
      <c r="L46" s="16" t="n"/>
      <c r="M46" s="14" t="inlineStr"/>
    </row>
    <row r="47">
      <c r="A47" s="13" t="n">
        <v>30</v>
      </c>
      <c r="B47" s="14" t="inlineStr">
        <is>
          <t>Himalayan Rock Salt Lick for Equestrian &amp; Cattle</t>
        </is>
      </c>
      <c r="C47" s="15" t="inlineStr">
        <is>
          <t>2-3Kg / 2pc</t>
        </is>
      </c>
      <c r="D47" s="16" t="inlineStr">
        <is>
          <t>SL-2 (2)</t>
        </is>
      </c>
      <c r="E47" s="14" t="inlineStr">
        <is>
          <t>Equestrian salt licks</t>
        </is>
      </c>
      <c r="F47" s="17" t="n">
        <v>13.99</v>
      </c>
      <c r="G47" s="18" t="n">
        <v>3.5</v>
      </c>
      <c r="H47" s="19" t="n">
        <v>2</v>
      </c>
      <c r="I47" s="20">
        <f>IF(G47="","",CEILING(G47*H47*2,1)-0.01)</f>
        <v/>
      </c>
      <c r="J47" s="18" t="n"/>
      <c r="K47" s="16" t="n"/>
      <c r="L47" s="16" t="n"/>
      <c r="M47" s="14" t="inlineStr"/>
    </row>
    <row r="48">
      <c r="A48" s="13" t="n">
        <v>31</v>
      </c>
      <c r="B48" s="14" t="inlineStr">
        <is>
          <t>Himalayan Rock Salt Lick for Equestrian &amp; Cattle</t>
        </is>
      </c>
      <c r="C48" s="15" t="inlineStr">
        <is>
          <t>2-3Kg / 1pc</t>
        </is>
      </c>
      <c r="D48" s="16" t="inlineStr">
        <is>
          <t>SL-2</t>
        </is>
      </c>
      <c r="E48" s="14" t="inlineStr">
        <is>
          <t>Equestrian salt licks</t>
        </is>
      </c>
      <c r="F48" s="17" t="n">
        <v>6.99</v>
      </c>
      <c r="G48" s="18" t="n">
        <v>3.5</v>
      </c>
      <c r="H48" s="19" t="n">
        <v>1</v>
      </c>
      <c r="I48" s="20">
        <f>IF(G48="","",CEILING(G48*H48*2,1)-0.01)</f>
        <v/>
      </c>
      <c r="J48" s="18" t="n"/>
      <c r="K48" s="16" t="n"/>
      <c r="L48" s="16" t="n"/>
      <c r="M48" s="14" t="inlineStr"/>
    </row>
    <row r="49">
      <c r="A49" s="13" t="n">
        <v>32</v>
      </c>
      <c r="B49" s="14" t="inlineStr">
        <is>
          <t>Himalayan Rock Salt Lick for Equestrian &amp; Cattle</t>
        </is>
      </c>
      <c r="C49" s="15" t="inlineStr">
        <is>
          <t>2-3Kg / 4pc</t>
        </is>
      </c>
      <c r="D49" s="16" t="inlineStr">
        <is>
          <t>SL-2 (4)</t>
        </is>
      </c>
      <c r="E49" s="14" t="inlineStr">
        <is>
          <t>Equestrian salt licks</t>
        </is>
      </c>
      <c r="F49" s="17" t="n">
        <v>27.99</v>
      </c>
      <c r="G49" s="18" t="n">
        <v>3.5</v>
      </c>
      <c r="H49" s="19" t="n">
        <v>4</v>
      </c>
      <c r="I49" s="20">
        <f>IF(G49="","",CEILING(G49*H49*2,1)-0.01)</f>
        <v/>
      </c>
      <c r="J49" s="18" t="n"/>
      <c r="K49" s="16" t="n"/>
      <c r="L49" s="16" t="n"/>
      <c r="M49" s="14" t="inlineStr"/>
    </row>
    <row r="50">
      <c r="A50" s="13" t="n">
        <v>45</v>
      </c>
      <c r="B50" s="14" t="inlineStr">
        <is>
          <t>Himalayan Rock Salt Massage Stones / Sticks</t>
        </is>
      </c>
      <c r="C50" s="15" t="inlineStr">
        <is>
          <t>Heart</t>
        </is>
      </c>
      <c r="D50" s="16" t="inlineStr">
        <is>
          <t>SH-01</t>
        </is>
      </c>
      <c r="E50" s="14" t="inlineStr">
        <is>
          <t>Massage and relaxation</t>
        </is>
      </c>
      <c r="F50" s="17" t="n">
        <v>3.99</v>
      </c>
      <c r="G50" s="18" t="n">
        <v>1.85</v>
      </c>
      <c r="H50" s="19" t="n">
        <v>1</v>
      </c>
      <c r="I50" s="20">
        <f>IF(G50="","",CEILING(G50*H50*2,1)-0.01)</f>
        <v/>
      </c>
      <c r="J50" s="18" t="n"/>
      <c r="K50" s="16" t="n"/>
      <c r="L50" s="16" t="n"/>
      <c r="M50" s="14" t="inlineStr"/>
    </row>
    <row r="51">
      <c r="A51" s="13" t="n">
        <v>46</v>
      </c>
      <c r="B51" s="14" t="inlineStr">
        <is>
          <t>Himalayan Rock Salt Massage Stones / Sticks</t>
        </is>
      </c>
      <c r="C51" s="15" t="inlineStr">
        <is>
          <t>Ball</t>
        </is>
      </c>
      <c r="D51" s="16" t="inlineStr">
        <is>
          <t>SB-01</t>
        </is>
      </c>
      <c r="E51" s="14" t="inlineStr">
        <is>
          <t>Massage and relaxation</t>
        </is>
      </c>
      <c r="F51" s="17" t="n">
        <v>3.99</v>
      </c>
      <c r="G51" s="18" t="n">
        <v>1.85</v>
      </c>
      <c r="H51" s="19" t="n">
        <v>1</v>
      </c>
      <c r="I51" s="20">
        <f>IF(G51="","",CEILING(G51*H51*2,1)-0.01)</f>
        <v/>
      </c>
      <c r="J51" s="18" t="n"/>
      <c r="K51" s="16" t="n"/>
      <c r="L51" s="16" t="n"/>
      <c r="M51" s="14" t="inlineStr"/>
    </row>
    <row r="52">
      <c r="A52" s="13" t="n">
        <v>47</v>
      </c>
      <c r="B52" s="14" t="inlineStr">
        <is>
          <t>Himalayan Rock Salt Massage Stones / Sticks</t>
        </is>
      </c>
      <c r="C52" s="15" t="inlineStr">
        <is>
          <t>Disk</t>
        </is>
      </c>
      <c r="D52" s="16" t="inlineStr">
        <is>
          <t>SD-01</t>
        </is>
      </c>
      <c r="E52" s="14" t="inlineStr">
        <is>
          <t>Massage and relaxation</t>
        </is>
      </c>
      <c r="F52" s="17" t="n">
        <v>3.99</v>
      </c>
      <c r="G52" s="18" t="n">
        <v>1.85</v>
      </c>
      <c r="H52" s="19" t="n">
        <v>1</v>
      </c>
      <c r="I52" s="20">
        <f>IF(G52="","",CEILING(G52*H52*2,1)-0.01)</f>
        <v/>
      </c>
      <c r="J52" s="18" t="n"/>
      <c r="K52" s="16" t="n"/>
      <c r="L52" s="16" t="n"/>
      <c r="M52" s="14" t="inlineStr"/>
    </row>
    <row r="53">
      <c r="A53" s="13" t="n">
        <v>48</v>
      </c>
      <c r="B53" s="14" t="inlineStr">
        <is>
          <t>Himalayan Rock Salt Massage Stones / Sticks</t>
        </is>
      </c>
      <c r="C53" s="15" t="inlineStr">
        <is>
          <t>Stick</t>
        </is>
      </c>
      <c r="D53" s="16" t="inlineStr">
        <is>
          <t>SS-01</t>
        </is>
      </c>
      <c r="E53" s="14" t="inlineStr">
        <is>
          <t>Massage and relaxation</t>
        </is>
      </c>
      <c r="F53" s="17" t="n">
        <v>4.99</v>
      </c>
      <c r="G53" s="18" t="n">
        <v>2.2</v>
      </c>
      <c r="H53" s="19" t="n">
        <v>1</v>
      </c>
      <c r="I53" s="20">
        <f>IF(G53="","",CEILING(G53*H53*2,1)-0.01)</f>
        <v/>
      </c>
      <c r="J53" s="18" t="n"/>
      <c r="K53" s="16" t="n"/>
      <c r="L53" s="16" t="n"/>
      <c r="M53" s="14" t="inlineStr"/>
    </row>
    <row r="54">
      <c r="A54" s="13" t="n">
        <v>8</v>
      </c>
      <c r="B54" s="14" t="inlineStr">
        <is>
          <t>Himalayan Rock Salt Platters</t>
        </is>
      </c>
      <c r="C54" s="15" t="inlineStr">
        <is>
          <t>12"x8"x1.5" Rectangle</t>
        </is>
      </c>
      <c r="D54" s="16" t="inlineStr">
        <is>
          <t>SPR-12</t>
        </is>
      </c>
      <c r="E54" s="14" t="inlineStr">
        <is>
          <t>Kitchen saltware</t>
        </is>
      </c>
      <c r="F54" s="17" t="n">
        <v>24.99</v>
      </c>
      <c r="G54" s="18" t="n">
        <v>12.5</v>
      </c>
      <c r="H54" s="19" t="n">
        <v>1</v>
      </c>
      <c r="I54" s="20">
        <f>IF(G54="","",CEILING(G54*H54*2,1)-0.01)</f>
        <v/>
      </c>
      <c r="J54" s="18" t="n"/>
      <c r="K54" s="16" t="n"/>
      <c r="L54" s="16" t="n"/>
      <c r="M54" s="14" t="inlineStr"/>
    </row>
    <row r="55">
      <c r="A55" s="13" t="n">
        <v>9</v>
      </c>
      <c r="B55" s="14" t="inlineStr">
        <is>
          <t>Himalayan Rock Salt Platters</t>
        </is>
      </c>
      <c r="C55" s="15" t="inlineStr">
        <is>
          <t>8"x1.5" Round</t>
        </is>
      </c>
      <c r="D55" s="16" t="inlineStr">
        <is>
          <t>SPC-8</t>
        </is>
      </c>
      <c r="E55" s="14" t="inlineStr">
        <is>
          <t>Kitchen saltware</t>
        </is>
      </c>
      <c r="F55" s="17" t="n">
        <v>19.99</v>
      </c>
      <c r="G55" s="18" t="n">
        <v>10</v>
      </c>
      <c r="H55" s="19" t="n">
        <v>1</v>
      </c>
      <c r="I55" s="20">
        <f>IF(G55="","",CEILING(G55*H55*2,1)-0.01)</f>
        <v/>
      </c>
      <c r="J55" s="18" t="n"/>
      <c r="K55" s="16" t="n"/>
      <c r="L55" s="16" t="n"/>
      <c r="M55" s="14" t="inlineStr"/>
    </row>
    <row r="56">
      <c r="A56" s="13" t="n">
        <v>10</v>
      </c>
      <c r="B56" s="14" t="inlineStr">
        <is>
          <t>Himalayan Rock Salt Platters</t>
        </is>
      </c>
      <c r="C56" s="15" t="inlineStr">
        <is>
          <t>8"x8"x1" Square</t>
        </is>
      </c>
      <c r="D56" s="16" t="inlineStr">
        <is>
          <t>ST-881</t>
        </is>
      </c>
      <c r="E56" s="14" t="inlineStr">
        <is>
          <t>Kitchen saltware</t>
        </is>
      </c>
      <c r="F56" s="17" t="n">
        <v>8</v>
      </c>
      <c r="G56" s="18" t="n"/>
      <c r="H56" s="19" t="n">
        <v>1</v>
      </c>
      <c r="I56" s="20">
        <f>IF(G56="","",CEILING(G56*H56*2,1)-0.01)</f>
        <v/>
      </c>
      <c r="J56" s="18" t="n"/>
      <c r="K56" s="16" t="n"/>
      <c r="L56" s="16" t="n"/>
      <c r="M56" s="21" t="inlineStr">
        <is>
          <t>No cost on the 2025 list — please add one.</t>
        </is>
      </c>
    </row>
    <row r="57">
      <c r="A57" s="13" t="n">
        <v>11</v>
      </c>
      <c r="B57" s="14" t="inlineStr">
        <is>
          <t>Himalayan Rock Salt Platters</t>
        </is>
      </c>
      <c r="C57" s="15" t="inlineStr">
        <is>
          <t>8"x4"x1" Rectangle</t>
        </is>
      </c>
      <c r="D57" s="16" t="inlineStr">
        <is>
          <t>ST-841</t>
        </is>
      </c>
      <c r="E57" s="14" t="inlineStr">
        <is>
          <t>Kitchen saltware</t>
        </is>
      </c>
      <c r="F57" s="17" t="n">
        <v>8</v>
      </c>
      <c r="G57" s="18" t="n">
        <v>3.5</v>
      </c>
      <c r="H57" s="19" t="n">
        <v>1</v>
      </c>
      <c r="I57" s="20">
        <f>IF(G57="","",CEILING(G57*H57*2,1)-0.01)</f>
        <v/>
      </c>
      <c r="J57" s="18" t="n"/>
      <c r="K57" s="16" t="n"/>
      <c r="L57" s="16" t="n"/>
      <c r="M57" s="21" t="inlineStr">
        <is>
          <t>NEEDS ITS OWN CODE. 'ST-841' is already the code for "Himalayan Rock Salt Bricks for Salt Walls", so the two can't be told apart. Please give this one a different code.</t>
        </is>
      </c>
    </row>
    <row r="58">
      <c r="A58" s="13" t="n">
        <v>12</v>
      </c>
      <c r="B58" s="14" t="inlineStr">
        <is>
          <t>Himalayan Rock Salt Platters</t>
        </is>
      </c>
      <c r="C58" s="15" t="inlineStr">
        <is>
          <t>8"x8"x1.5" Square</t>
        </is>
      </c>
      <c r="D58" s="16" t="inlineStr">
        <is>
          <t>SPS-8</t>
        </is>
      </c>
      <c r="E58" s="14" t="inlineStr">
        <is>
          <t>Kitchen saltware</t>
        </is>
      </c>
      <c r="F58" s="17" t="n">
        <v>19.99</v>
      </c>
      <c r="G58" s="18" t="n">
        <v>10</v>
      </c>
      <c r="H58" s="19" t="n">
        <v>1</v>
      </c>
      <c r="I58" s="20">
        <f>IF(G58="","",CEILING(G58*H58*2,1)-0.01)</f>
        <v/>
      </c>
      <c r="J58" s="18" t="n"/>
      <c r="K58" s="16" t="n"/>
      <c r="L58" s="16" t="n"/>
      <c r="M58" s="14" t="inlineStr"/>
    </row>
    <row r="59">
      <c r="A59" s="13" t="n">
        <v>74</v>
      </c>
      <c r="B59" s="14" t="inlineStr">
        <is>
          <t>Himalayan Rock Salt Soap Bar / Scrub Bar</t>
        </is>
      </c>
      <c r="C59" s="15" t="inlineStr">
        <is>
          <t>Regular</t>
        </is>
      </c>
      <c r="D59" s="16" t="inlineStr">
        <is>
          <t>SB-02</t>
        </is>
      </c>
      <c r="E59" s="14" t="inlineStr">
        <is>
          <t>Massage and relaxation</t>
        </is>
      </c>
      <c r="F59" s="17" t="n">
        <v>3.99</v>
      </c>
      <c r="G59" s="18" t="n">
        <v>2</v>
      </c>
      <c r="H59" s="19" t="n">
        <v>1</v>
      </c>
      <c r="I59" s="20">
        <f>IF(G59="","",CEILING(G59*H59*2,1)-0.01)</f>
        <v/>
      </c>
      <c r="J59" s="18" t="n"/>
      <c r="K59" s="16" t="n"/>
      <c r="L59" s="16" t="n"/>
      <c r="M59" s="14" t="inlineStr"/>
    </row>
    <row r="60">
      <c r="A60" s="13" t="n">
        <v>75</v>
      </c>
      <c r="B60" s="14" t="inlineStr">
        <is>
          <t>Himalayan Rock Salt Soap Bar / Scrub Bar</t>
        </is>
      </c>
      <c r="C60" s="15" t="inlineStr">
        <is>
          <t>Leaf</t>
        </is>
      </c>
      <c r="D60" s="16" t="inlineStr">
        <is>
          <t>SB-02L</t>
        </is>
      </c>
      <c r="E60" s="14" t="inlineStr">
        <is>
          <t>Massage and relaxation</t>
        </is>
      </c>
      <c r="F60" s="17" t="n">
        <v>3.99</v>
      </c>
      <c r="G60" s="18" t="n">
        <v>2</v>
      </c>
      <c r="H60" s="19" t="n">
        <v>1</v>
      </c>
      <c r="I60" s="20">
        <f>IF(G60="","",CEILING(G60*H60*2,1)-0.01)</f>
        <v/>
      </c>
      <c r="J60" s="18" t="n"/>
      <c r="K60" s="16" t="n"/>
      <c r="L60" s="16" t="n"/>
      <c r="M60" s="14" t="inlineStr"/>
    </row>
    <row r="61">
      <c r="A61" s="13" t="n">
        <v>13</v>
      </c>
      <c r="B61" s="14" t="inlineStr">
        <is>
          <t>Himalayan Salt Shot Glass – Hand Carved Tequila Glass from Natural Rock Salt</t>
        </is>
      </c>
      <c r="C61" s="15" t="inlineStr">
        <is>
          <t>—</t>
        </is>
      </c>
      <c r="D61" s="16" t="inlineStr">
        <is>
          <t>SG-01</t>
        </is>
      </c>
      <c r="E61" s="14" t="inlineStr">
        <is>
          <t>Kitchen saltware</t>
        </is>
      </c>
      <c r="F61" s="17" t="n">
        <v>5</v>
      </c>
      <c r="G61" s="18" t="n">
        <v>1.8</v>
      </c>
      <c r="H61" s="19" t="n">
        <v>1</v>
      </c>
      <c r="I61" s="20">
        <f>IF(G61="","",CEILING(G61*H61*2,1)-0.01)</f>
        <v/>
      </c>
      <c r="J61" s="18" t="n"/>
      <c r="K61" s="16" t="n"/>
      <c r="L61" s="16" t="n"/>
      <c r="M61" s="14" t="inlineStr"/>
    </row>
    <row r="62">
      <c r="A62" s="13" t="n">
        <v>76</v>
      </c>
      <c r="B62" s="14" t="inlineStr">
        <is>
          <t>Mushroom Shape Himalayan Rock Salt Lamp</t>
        </is>
      </c>
      <c r="C62" s="15" t="inlineStr">
        <is>
          <t>—</t>
        </is>
      </c>
      <c r="D62" s="16" t="inlineStr">
        <is>
          <t>RSL-M</t>
        </is>
      </c>
      <c r="E62" s="14" t="inlineStr">
        <is>
          <t>Salt lamps</t>
        </is>
      </c>
      <c r="F62" s="17" t="n">
        <v>24.99</v>
      </c>
      <c r="G62" s="18" t="n">
        <v>12.5</v>
      </c>
      <c r="H62" s="19" t="n">
        <v>1</v>
      </c>
      <c r="I62" s="20">
        <f>IF(G62="","",CEILING(G62*H62*2,1)-0.01)</f>
        <v/>
      </c>
      <c r="J62" s="18" t="n"/>
      <c r="K62" s="16" t="n"/>
      <c r="L62" s="16" t="n"/>
      <c r="M62" s="14" t="inlineStr"/>
    </row>
    <row r="63">
      <c r="A63" s="13" t="n">
        <v>61</v>
      </c>
      <c r="B63" s="14" t="inlineStr">
        <is>
          <t>Natural Shape Himalayan Crystal Rock Salt Lamp</t>
        </is>
      </c>
      <c r="C63" s="15" t="inlineStr">
        <is>
          <t>X-Small</t>
        </is>
      </c>
      <c r="D63" s="16" t="inlineStr">
        <is>
          <t>RSL-XS</t>
        </is>
      </c>
      <c r="E63" s="14" t="inlineStr">
        <is>
          <t>Salt lamps</t>
        </is>
      </c>
      <c r="F63" s="17" t="n">
        <v>11.99</v>
      </c>
      <c r="G63" s="18" t="n">
        <v>6</v>
      </c>
      <c r="H63" s="19" t="n">
        <v>1</v>
      </c>
      <c r="I63" s="20">
        <f>IF(G63="","",CEILING(G63*H63*2,1)-0.01)</f>
        <v/>
      </c>
      <c r="J63" s="18" t="n"/>
      <c r="K63" s="16" t="n"/>
      <c r="L63" s="16" t="n"/>
      <c r="M63" s="14" t="inlineStr"/>
    </row>
    <row r="64">
      <c r="A64" s="13" t="n">
        <v>62</v>
      </c>
      <c r="B64" s="14" t="inlineStr">
        <is>
          <t>Natural Shape Himalayan Crystal Rock Salt Lamp</t>
        </is>
      </c>
      <c r="C64" s="15" t="inlineStr">
        <is>
          <t>Small</t>
        </is>
      </c>
      <c r="D64" s="16" t="inlineStr">
        <is>
          <t>RSL-1</t>
        </is>
      </c>
      <c r="E64" s="14" t="inlineStr">
        <is>
          <t>Salt lamps</t>
        </is>
      </c>
      <c r="F64" s="17" t="n">
        <v>14.99</v>
      </c>
      <c r="G64" s="18" t="n">
        <v>7.5</v>
      </c>
      <c r="H64" s="19" t="n">
        <v>1</v>
      </c>
      <c r="I64" s="20">
        <f>IF(G64="","",CEILING(G64*H64*2,1)-0.01)</f>
        <v/>
      </c>
      <c r="J64" s="18" t="n"/>
      <c r="K64" s="16" t="n"/>
      <c r="L64" s="16" t="n"/>
      <c r="M64" s="14" t="inlineStr"/>
    </row>
    <row r="65">
      <c r="A65" s="13" t="n">
        <v>63</v>
      </c>
      <c r="B65" s="14" t="inlineStr">
        <is>
          <t>Natural Shape Himalayan Crystal Rock Salt Lamp</t>
        </is>
      </c>
      <c r="C65" s="15" t="inlineStr">
        <is>
          <t>Medium</t>
        </is>
      </c>
      <c r="D65" s="16" t="inlineStr">
        <is>
          <t>RSL-2</t>
        </is>
      </c>
      <c r="E65" s="14" t="inlineStr">
        <is>
          <t>Salt lamps</t>
        </is>
      </c>
      <c r="F65" s="17" t="n">
        <v>24.99</v>
      </c>
      <c r="G65" s="18" t="n">
        <v>12.5</v>
      </c>
      <c r="H65" s="19" t="n">
        <v>1</v>
      </c>
      <c r="I65" s="20">
        <f>IF(G65="","",CEILING(G65*H65*2,1)-0.01)</f>
        <v/>
      </c>
      <c r="J65" s="18" t="n"/>
      <c r="K65" s="16" t="n"/>
      <c r="L65" s="16" t="n"/>
      <c r="M65" s="14" t="inlineStr"/>
    </row>
    <row r="66">
      <c r="A66" s="13" t="n">
        <v>64</v>
      </c>
      <c r="B66" s="14" t="inlineStr">
        <is>
          <t>Natural Shape Himalayan Crystal Rock Salt Lamp</t>
        </is>
      </c>
      <c r="C66" s="15" t="inlineStr">
        <is>
          <t>Large</t>
        </is>
      </c>
      <c r="D66" s="16" t="inlineStr">
        <is>
          <t>RSL-3</t>
        </is>
      </c>
      <c r="E66" s="14" t="inlineStr">
        <is>
          <t>Salt lamps</t>
        </is>
      </c>
      <c r="F66" s="17" t="n">
        <v>27.99</v>
      </c>
      <c r="G66" s="18" t="n">
        <v>14</v>
      </c>
      <c r="H66" s="19" t="n">
        <v>1</v>
      </c>
      <c r="I66" s="20">
        <f>IF(G66="","",CEILING(G66*H66*2,1)-0.01)</f>
        <v/>
      </c>
      <c r="J66" s="18" t="n"/>
      <c r="K66" s="16" t="n"/>
      <c r="L66" s="16" t="n"/>
      <c r="M66" s="14" t="inlineStr"/>
    </row>
    <row r="67">
      <c r="A67" s="13" t="n">
        <v>49</v>
      </c>
      <c r="B67" s="14" t="inlineStr">
        <is>
          <t>Pyramid Shape Himalayan Rock Salt Lamp</t>
        </is>
      </c>
      <c r="C67" s="15" t="inlineStr">
        <is>
          <t>—</t>
        </is>
      </c>
      <c r="D67" s="16" t="inlineStr">
        <is>
          <t>RSL-P</t>
        </is>
      </c>
      <c r="E67" s="14" t="inlineStr">
        <is>
          <t>Salt lamps</t>
        </is>
      </c>
      <c r="F67" s="17" t="n">
        <v>24.99</v>
      </c>
      <c r="G67" s="18" t="n">
        <v>12.5</v>
      </c>
      <c r="H67" s="19" t="n">
        <v>1</v>
      </c>
      <c r="I67" s="20">
        <f>IF(G67="","",CEILING(G67*H67*2,1)-0.01)</f>
        <v/>
      </c>
      <c r="J67" s="18" t="n"/>
      <c r="K67" s="16" t="n"/>
      <c r="L67" s="16" t="n"/>
      <c r="M67" s="14" t="inlineStr"/>
    </row>
    <row r="68">
      <c r="A68" s="13" t="n">
        <v>73</v>
      </c>
      <c r="B68" s="14" t="inlineStr">
        <is>
          <t>Rock Salt Candle Holder (Apple Shape)</t>
        </is>
      </c>
      <c r="C68" s="15" t="inlineStr">
        <is>
          <t>—</t>
        </is>
      </c>
      <c r="D68" s="16" t="inlineStr">
        <is>
          <t>TCA</t>
        </is>
      </c>
      <c r="E68" s="14" t="inlineStr">
        <is>
          <t>Candle holders</t>
        </is>
      </c>
      <c r="F68" s="17" t="n">
        <v>7.99</v>
      </c>
      <c r="G68" s="18" t="n">
        <v>3.5</v>
      </c>
      <c r="H68" s="19" t="n">
        <v>1</v>
      </c>
      <c r="I68" s="20">
        <f>IF(G68="","",CEILING(G68*H68*2,1)-0.01)</f>
        <v/>
      </c>
      <c r="J68" s="18" t="n"/>
      <c r="K68" s="16" t="n"/>
      <c r="L68" s="16" t="n"/>
      <c r="M68" s="14" t="inlineStr"/>
    </row>
    <row r="69">
      <c r="A69" s="13" t="n">
        <v>36</v>
      </c>
      <c r="B69" s="14" t="inlineStr">
        <is>
          <t>Salt Lamp Bulb</t>
        </is>
      </c>
      <c r="C69" s="15" t="inlineStr">
        <is>
          <t>15 Watts / 2pc</t>
        </is>
      </c>
      <c r="D69" s="16" t="inlineStr">
        <is>
          <t>E14-1</t>
        </is>
      </c>
      <c r="E69" s="14" t="inlineStr">
        <is>
          <t>Accessories</t>
        </is>
      </c>
      <c r="F69" s="17" t="n">
        <v>2.99</v>
      </c>
      <c r="G69" s="18" t="n">
        <v>0.7</v>
      </c>
      <c r="H69" s="19" t="n">
        <v>2</v>
      </c>
      <c r="I69" s="20">
        <f>IF(G69="","",CEILING(G69*H69*2,1)-0.01)</f>
        <v/>
      </c>
      <c r="J69" s="18" t="n"/>
      <c r="K69" s="16" t="n"/>
      <c r="L69" s="16" t="n"/>
      <c r="M69" s="14" t="inlineStr"/>
    </row>
    <row r="70">
      <c r="A70" s="13" t="n">
        <v>37</v>
      </c>
      <c r="B70" s="14" t="inlineStr">
        <is>
          <t>Salt Lamp Bulb</t>
        </is>
      </c>
      <c r="C70" s="15" t="inlineStr">
        <is>
          <t>25 Watts / 1pc</t>
        </is>
      </c>
      <c r="D70" s="16" t="inlineStr">
        <is>
          <t>E14-2</t>
        </is>
      </c>
      <c r="E70" s="14" t="inlineStr">
        <is>
          <t>Accessories</t>
        </is>
      </c>
      <c r="F70" s="17" t="n">
        <v>1.99</v>
      </c>
      <c r="G70" s="18" t="n">
        <v>0.8</v>
      </c>
      <c r="H70" s="19" t="n">
        <v>1</v>
      </c>
      <c r="I70" s="20">
        <f>IF(G70="","",CEILING(G70*H70*2,1)-0.01)</f>
        <v/>
      </c>
      <c r="J70" s="18" t="n"/>
      <c r="K70" s="16" t="n"/>
      <c r="L70" s="16" t="n"/>
      <c r="M70" s="14" t="inlineStr"/>
    </row>
    <row r="71">
      <c r="A71" s="13" t="n">
        <v>38</v>
      </c>
      <c r="B71" s="14" t="inlineStr">
        <is>
          <t>Salt Lamp Bulb</t>
        </is>
      </c>
      <c r="C71" s="15" t="inlineStr">
        <is>
          <t>15 Watts / 3pc</t>
        </is>
      </c>
      <c r="D71" s="16" t="inlineStr">
        <is>
          <t>E14-1 (3)</t>
        </is>
      </c>
      <c r="E71" s="14" t="inlineStr">
        <is>
          <t>Accessories</t>
        </is>
      </c>
      <c r="F71" s="17" t="n">
        <v>4.99</v>
      </c>
      <c r="G71" s="18" t="n">
        <v>0.7</v>
      </c>
      <c r="H71" s="19" t="n">
        <v>3</v>
      </c>
      <c r="I71" s="20">
        <f>IF(G71="","",CEILING(G71*H71*2,1)-0.01)</f>
        <v/>
      </c>
      <c r="J71" s="18" t="n"/>
      <c r="K71" s="16" t="n"/>
      <c r="L71" s="16" t="n"/>
      <c r="M71" s="14" t="inlineStr"/>
    </row>
    <row r="72">
      <c r="A72" s="13" t="n">
        <v>39</v>
      </c>
      <c r="B72" s="14" t="inlineStr">
        <is>
          <t>Salt Lamp Bulb</t>
        </is>
      </c>
      <c r="C72" s="15" t="inlineStr">
        <is>
          <t>25 Watts / 3pc</t>
        </is>
      </c>
      <c r="D72" s="16" t="inlineStr">
        <is>
          <t>E14-2 (3)</t>
        </is>
      </c>
      <c r="E72" s="14" t="inlineStr">
        <is>
          <t>Accessories</t>
        </is>
      </c>
      <c r="F72" s="17" t="n">
        <v>4.99</v>
      </c>
      <c r="G72" s="18" t="n">
        <v>0.8</v>
      </c>
      <c r="H72" s="19" t="n">
        <v>3</v>
      </c>
      <c r="I72" s="20">
        <f>IF(G72="","",CEILING(G72*H72*2,1)-0.01)</f>
        <v/>
      </c>
      <c r="J72" s="18" t="n"/>
      <c r="K72" s="16" t="n"/>
      <c r="L72" s="16" t="n"/>
      <c r="M72" s="14" t="inlineStr"/>
    </row>
    <row r="73">
      <c r="A73" s="13" t="n">
        <v>40</v>
      </c>
      <c r="B73" s="14" t="inlineStr">
        <is>
          <t>Salt Lamp Bulb</t>
        </is>
      </c>
      <c r="C73" s="15" t="inlineStr">
        <is>
          <t>25 Watts / 2pc</t>
        </is>
      </c>
      <c r="D73" s="16" t="inlineStr">
        <is>
          <t>E14-1</t>
        </is>
      </c>
      <c r="E73" s="14" t="inlineStr">
        <is>
          <t>Accessories</t>
        </is>
      </c>
      <c r="F73" s="17" t="n">
        <v>3.99</v>
      </c>
      <c r="G73" s="18" t="n">
        <v>0.7</v>
      </c>
      <c r="H73" s="19" t="n">
        <v>2</v>
      </c>
      <c r="I73" s="20">
        <f>IF(G73="","",CEILING(G73*H73*2,1)-0.01)</f>
        <v/>
      </c>
      <c r="J73" s="18" t="n"/>
      <c r="K73" s="16" t="n"/>
      <c r="L73" s="16" t="n"/>
      <c r="M73" s="21" t="inlineStr">
        <is>
          <t>CODE LOOKS WRONG. This is the 25W bulb but it's coded E14-1; the list says 25W is E14-2. Please confirm.</t>
        </is>
      </c>
    </row>
    <row r="74">
      <c r="A74" s="13" t="n">
        <v>41</v>
      </c>
      <c r="B74" s="14" t="inlineStr">
        <is>
          <t>Salt Lamp Bulb</t>
        </is>
      </c>
      <c r="C74" s="15" t="inlineStr">
        <is>
          <t>15 Watts / 1pc</t>
        </is>
      </c>
      <c r="D74" s="16" t="inlineStr">
        <is>
          <t>E14-1</t>
        </is>
      </c>
      <c r="E74" s="14" t="inlineStr">
        <is>
          <t>Accessories</t>
        </is>
      </c>
      <c r="F74" s="17" t="n">
        <v>1.99</v>
      </c>
      <c r="G74" s="18" t="n">
        <v>0.7</v>
      </c>
      <c r="H74" s="19" t="n">
        <v>1</v>
      </c>
      <c r="I74" s="20">
        <f>IF(G74="","",CEILING(G74*H74*2,1)-0.01)</f>
        <v/>
      </c>
      <c r="J74" s="18" t="n"/>
      <c r="K74" s="16" t="n"/>
      <c r="L74" s="16" t="n"/>
      <c r="M74" s="14" t="inlineStr"/>
    </row>
    <row r="75">
      <c r="A75" s="13" t="n">
        <v>18</v>
      </c>
      <c r="B75" s="14" t="inlineStr">
        <is>
          <t>Salty Licks for Horses &amp; Cattle, Himalayan Rock Salt Licks</t>
        </is>
      </c>
      <c r="C75" s="15" t="inlineStr">
        <is>
          <t>—</t>
        </is>
      </c>
      <c r="D75" s="16" t="inlineStr">
        <is>
          <t>SL-2</t>
        </is>
      </c>
      <c r="E75" s="14" t="inlineStr">
        <is>
          <t>Special deals, Equestrian salt licks</t>
        </is>
      </c>
      <c r="F75" s="17" t="n">
        <v>15</v>
      </c>
      <c r="G75" s="18" t="n">
        <v>3.5</v>
      </c>
      <c r="H75" s="19" t="n">
        <v>1</v>
      </c>
      <c r="I75" s="20">
        <f>IF(G75="","",CEILING(G75*H75*2,1)-0.01)</f>
        <v/>
      </c>
      <c r="J75" s="18" t="n"/>
      <c r="K75" s="16" t="n"/>
      <c r="L75" s="16" t="n"/>
      <c r="M75" s="21" t="inlineStr">
        <is>
          <t>NEEDS ITS OWN CODE. 'SL-2' is already the code for "Himalayan Rock Salt Lick for Equestrian &amp; Cattle", so the two can't be told apart. Please give this one a different code.</t>
        </is>
      </c>
    </row>
    <row r="76">
      <c r="A76" s="13" t="n">
        <v>19</v>
      </c>
      <c r="B76" s="14" t="inlineStr">
        <is>
          <t>Special Offer - Himalayan Crystal Rock Salt Candle Holders</t>
        </is>
      </c>
      <c r="C76" s="15" t="inlineStr">
        <is>
          <t>—</t>
        </is>
      </c>
      <c r="D76" s="16" t="inlineStr">
        <is>
          <t>Deal 2</t>
        </is>
      </c>
      <c r="E76" s="14" t="inlineStr">
        <is>
          <t>Candle holders, Special deals</t>
        </is>
      </c>
      <c r="F76" s="17" t="n">
        <v>10</v>
      </c>
      <c r="G76" s="18" t="n"/>
      <c r="H76" s="19" t="n">
        <v>1</v>
      </c>
      <c r="I76" s="20">
        <f>IF(G76="","",CEILING(G76*H76*2,1)-0.01)</f>
        <v/>
      </c>
      <c r="J76" s="18" t="n"/>
      <c r="K76" s="16" t="n"/>
      <c r="L76" s="16" t="n"/>
      <c r="M76" s="21" t="inlineStr">
        <is>
          <t>Bundle offer. Please enter what the bundle costs you in total, and tell us in the Notes what's included.</t>
        </is>
      </c>
    </row>
    <row r="77">
      <c r="A77" s="13" t="n">
        <v>20</v>
      </c>
      <c r="B77" s="14" t="inlineStr">
        <is>
          <t>Special Offer - Himalayan Rock Salt Lamp &amp; Candle Holders</t>
        </is>
      </c>
      <c r="C77" s="15" t="inlineStr">
        <is>
          <t>—</t>
        </is>
      </c>
      <c r="D77" s="16" t="inlineStr">
        <is>
          <t>Deal 1</t>
        </is>
      </c>
      <c r="E77" s="14" t="inlineStr">
        <is>
          <t>Special deals</t>
        </is>
      </c>
      <c r="F77" s="17" t="n">
        <v>15</v>
      </c>
      <c r="G77" s="18" t="n"/>
      <c r="H77" s="19" t="n">
        <v>1</v>
      </c>
      <c r="I77" s="20">
        <f>IF(G77="","",CEILING(G77*H77*2,1)-0.01)</f>
        <v/>
      </c>
      <c r="J77" s="18" t="n"/>
      <c r="K77" s="16" t="n"/>
      <c r="L77" s="16" t="n"/>
      <c r="M77" s="21" t="inlineStr">
        <is>
          <t>Bundle offer. Please enter what the bundle costs you in total, and tell us in the Notes what's included.</t>
        </is>
      </c>
    </row>
    <row r="78">
      <c r="A78" s="13" t="n">
        <v>60</v>
      </c>
      <c r="B78" s="14" t="inlineStr">
        <is>
          <t>Tear Drop Shape Himalayan Rock Salt Lamp</t>
        </is>
      </c>
      <c r="C78" s="15" t="inlineStr">
        <is>
          <t>—</t>
        </is>
      </c>
      <c r="D78" s="16" t="inlineStr">
        <is>
          <t>RSL-T</t>
        </is>
      </c>
      <c r="E78" s="14" t="inlineStr">
        <is>
          <t>Salt lamps</t>
        </is>
      </c>
      <c r="F78" s="17" t="n">
        <v>24.99</v>
      </c>
      <c r="G78" s="18" t="n">
        <v>12.5</v>
      </c>
      <c r="H78" s="19" t="n">
        <v>1</v>
      </c>
      <c r="I78" s="20">
        <f>IF(G78="","",CEILING(G78*H78*2,1)-0.01)</f>
        <v/>
      </c>
      <c r="J78" s="18" t="n"/>
      <c r="K78" s="16" t="n"/>
      <c r="L78" s="16" t="n"/>
      <c r="M78" s="14" t="inlineStr"/>
    </row>
    <row r="79">
      <c r="A79" s="13" t="n">
        <v>51</v>
      </c>
      <c r="B79" s="14" t="inlineStr">
        <is>
          <t>Wooden Basket Himalayan Rock Salt Lamp</t>
        </is>
      </c>
      <c r="C79" s="15" t="inlineStr">
        <is>
          <t>—</t>
        </is>
      </c>
      <c r="D79" s="16" t="inlineStr">
        <is>
          <t>RSL-WB</t>
        </is>
      </c>
      <c r="E79" s="14" t="inlineStr">
        <is>
          <t>Salt lamps</t>
        </is>
      </c>
      <c r="F79" s="17" t="n">
        <v>39.99</v>
      </c>
      <c r="G79" s="18" t="n">
        <v>18</v>
      </c>
      <c r="H79" s="19" t="n">
        <v>1</v>
      </c>
      <c r="I79" s="20">
        <f>IF(G79="","",CEILING(G79*H79*2,1)-0.01)</f>
        <v/>
      </c>
      <c r="J79" s="18" t="n"/>
      <c r="K79" s="16" t="n"/>
      <c r="L79" s="16" t="n"/>
      <c r="M79" s="14" t="inlineStr"/>
    </row>
  </sheetData>
  <autoFilter ref="A2:M79"/>
  <mergeCells count="1">
    <mergeCell ref="A1:M1"/>
  </mergeCells>
  <dataValidations count="1">
    <dataValidation sqref="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showDropDown="0" showInputMessage="0" showErrorMessage="0" allowBlank="1" error="Please choose Yes or No." prompt="Are you still selling this size?"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D14"/>
  <sheetViews>
    <sheetView showGridLines="0" workbookViewId="0">
      <selection activeCell="A1" sqref="A1"/>
    </sheetView>
  </sheetViews>
  <sheetFormatPr baseColWidth="8" defaultRowHeight="15"/>
  <cols>
    <col width="4" customWidth="1" min="1" max="1"/>
    <col width="62" customWidth="1" min="2" max="2"/>
    <col width="26" customWidth="1" min="3" max="3"/>
    <col width="58" customWidth="1" min="4" max="4"/>
  </cols>
  <sheetData>
    <row r="1" ht="30" customHeight="1">
      <c r="B1" s="1" t="inlineStr">
        <is>
          <t>VAT and delivery</t>
        </is>
      </c>
    </row>
    <row r="3" ht="34" customHeight="1">
      <c r="B3" s="2" t="inlineStr">
        <is>
          <t>The website currently charges nothing for delivery and shows no VAT anywhere. Neither can stay that way once it takes real orders, and these are the questions only you can answer.</t>
        </is>
      </c>
    </row>
    <row r="5">
      <c r="B5" s="22" t="inlineStr">
        <is>
          <t>Question</t>
        </is>
      </c>
      <c r="C5" s="22" t="inlineStr">
        <is>
          <t>YOUR ANSWER</t>
        </is>
      </c>
      <c r="D5" s="22" t="inlineStr">
        <is>
          <t>Why we're asking</t>
        </is>
      </c>
    </row>
    <row r="6" ht="40" customHeight="1">
      <c r="B6" s="23" t="inlineStr">
        <is>
          <t>Are you VAT registered?</t>
        </is>
      </c>
      <c r="C6" s="24" t="inlineStr">
        <is>
          <t>Yes / No</t>
        </is>
      </c>
      <c r="D6" s="14" t="inlineStr">
        <is>
          <t>Decides whether VAT has to appear anywhere on the site at all.</t>
        </is>
      </c>
    </row>
    <row r="7" ht="40" customHeight="1">
      <c r="B7" s="23" t="inlineStr">
        <is>
          <t>If yes, your VAT number</t>
        </is>
      </c>
      <c r="C7" s="24" t="inlineStr"/>
      <c r="D7" s="14" t="inlineStr">
        <is>
          <t>It has to be shown on the website and on receipts.</t>
        </is>
      </c>
    </row>
    <row r="8" ht="40" customHeight="1">
      <c r="B8" s="23" t="inlineStr">
        <is>
          <t>Should the prices customers see include VAT?</t>
        </is>
      </c>
      <c r="C8" s="24" t="inlineStr">
        <is>
          <t>Yes / No</t>
        </is>
      </c>
      <c r="D8" s="14" t="inlineStr">
        <is>
          <t>UK rules say prices shown to the public must include VAT. Answer No only if you sell mainly to trade.</t>
        </is>
      </c>
    </row>
    <row r="9" ht="40" customHeight="1">
      <c r="B9" s="23" t="inlineStr">
        <is>
          <t>Standard UK delivery charge</t>
        </is>
      </c>
      <c r="C9" s="24" t="inlineStr">
        <is>
          <t>£</t>
        </is>
      </c>
      <c r="D9" s="14" t="inlineStr">
        <is>
          <t>Charged on a normal order. Right now every order ships free.</t>
        </is>
      </c>
    </row>
    <row r="10" ht="40" customHeight="1">
      <c r="B10" s="23" t="inlineStr">
        <is>
          <t>Free delivery over this amount?</t>
        </is>
      </c>
      <c r="C10" s="24" t="inlineStr">
        <is>
          <t>£  (or 'none')</t>
        </is>
      </c>
      <c r="D10" s="14" t="inlineStr">
        <is>
          <t>A common way to lift order sizes. Leave as 'none' if you'd rather not.</t>
        </is>
      </c>
    </row>
    <row r="11" ht="40" customHeight="1">
      <c r="B11" s="23" t="inlineStr">
        <is>
          <t>Delivery charge for heavy items
(bricks, 12-packs, 10kg salt)</t>
        </is>
      </c>
      <c r="C11" s="24" t="inlineStr">
        <is>
          <t>£</t>
        </is>
      </c>
      <c r="D11" s="14" t="inlineStr">
        <is>
          <t>A 12-pack of 4-5kg licks is around 50kg. Standard postage won't cover it.</t>
        </is>
      </c>
    </row>
    <row r="12" ht="40" customHeight="1">
      <c r="B12" s="23" t="inlineStr">
        <is>
          <t>Do you deliver outside the UK?</t>
        </is>
      </c>
      <c r="C12" s="24" t="inlineStr">
        <is>
          <t>Yes / No</t>
        </is>
      </c>
      <c r="D12" s="14" t="inlineStr">
        <is>
          <t>The checkout currently only accepts UK addresses.</t>
        </is>
      </c>
    </row>
    <row r="13" ht="40" customHeight="1">
      <c r="B13" s="23" t="inlineStr">
        <is>
          <t>If yes, which countries and what charge?</t>
        </is>
      </c>
      <c r="C13" s="24" t="inlineStr"/>
      <c r="D13" s="14" t="inlineStr">
        <is>
          <t>We'll add them to the checkout.</t>
        </is>
      </c>
    </row>
    <row r="14" ht="40" customHeight="1">
      <c r="B14" s="23" t="inlineStr">
        <is>
          <t>Warn you when stock drops to how many?</t>
        </is>
      </c>
      <c r="C14" s="24" t="inlineStr">
        <is>
          <t xml:space="preserve">  (currently 5)</t>
        </is>
      </c>
      <c r="D14" s="14" t="inlineStr">
        <is>
          <t>The admin screen highlights anything at or below this number.</t>
        </is>
      </c>
    </row>
  </sheetData>
  <mergeCells count="2">
    <mergeCell ref="B1:D1"/>
    <mergeCell ref="B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34" customWidth="1" min="1" max="1"/>
    <col width="14" customWidth="1" min="2" max="2"/>
    <col width="16" customWidth="1" min="3" max="3"/>
    <col width="12" customWidth="1" min="4" max="4"/>
    <col width="56" customWidth="1" min="5" max="5"/>
  </cols>
  <sheetData>
    <row r="1">
      <c r="A1" s="11" t="inlineStr">
        <is>
          <t>These are the sections the shop is organised into. Tell us if any name is wrong or a section should go.</t>
        </is>
      </c>
    </row>
    <row r="2" ht="34" customHeight="1">
      <c r="A2" s="12" t="inlineStr">
        <is>
          <t>Section name</t>
        </is>
      </c>
      <c r="B2" s="12" t="inlineStr">
        <is>
          <t>Products in it</t>
        </is>
      </c>
      <c r="C2" s="12" t="inlineStr">
        <is>
          <t>Shown on the site?</t>
        </is>
      </c>
      <c r="D2" s="12" t="inlineStr">
        <is>
          <t>KEEP IT?</t>
        </is>
      </c>
      <c r="E2" s="12" t="inlineStr">
        <is>
          <t>Your notes</t>
        </is>
      </c>
    </row>
    <row r="3">
      <c r="A3" s="15" t="inlineStr">
        <is>
          <t>Salt lamps</t>
        </is>
      </c>
      <c r="B3" s="19" t="n">
        <v>13</v>
      </c>
      <c r="C3" s="15" t="inlineStr">
        <is>
          <t>Yes</t>
        </is>
      </c>
      <c r="D3" s="16" t="n"/>
      <c r="E3" s="16" t="n"/>
    </row>
    <row r="4">
      <c r="A4" s="15" t="inlineStr">
        <is>
          <t>Candle holders</t>
        </is>
      </c>
      <c r="B4" s="19" t="n">
        <v>7</v>
      </c>
      <c r="C4" s="15" t="inlineStr">
        <is>
          <t>Yes</t>
        </is>
      </c>
      <c r="D4" s="16" t="n"/>
      <c r="E4" s="16" t="n"/>
    </row>
    <row r="5">
      <c r="A5" s="15" t="inlineStr">
        <is>
          <t>Kitchen saltware</t>
        </is>
      </c>
      <c r="B5" s="19" t="n">
        <v>4</v>
      </c>
      <c r="C5" s="15" t="inlineStr">
        <is>
          <t>Yes</t>
        </is>
      </c>
      <c r="D5" s="16" t="n"/>
      <c r="E5" s="16" t="n"/>
    </row>
    <row r="6">
      <c r="A6" s="15" t="inlineStr">
        <is>
          <t>Salt bricks</t>
        </is>
      </c>
      <c r="B6" s="19" t="n">
        <v>1</v>
      </c>
      <c r="C6" s="15" t="inlineStr">
        <is>
          <t>Yes</t>
        </is>
      </c>
      <c r="D6" s="16" t="n"/>
      <c r="E6" s="16" t="n"/>
    </row>
    <row r="7">
      <c r="A7" s="15" t="inlineStr">
        <is>
          <t>Equestrian salt licks</t>
        </is>
      </c>
      <c r="B7" s="19" t="n">
        <v>2</v>
      </c>
      <c r="C7" s="15" t="inlineStr">
        <is>
          <t>Yes</t>
        </is>
      </c>
      <c r="D7" s="16" t="n"/>
      <c r="E7" s="16" t="n"/>
    </row>
    <row r="8">
      <c r="A8" s="15" t="inlineStr">
        <is>
          <t>Massage and relaxation</t>
        </is>
      </c>
      <c r="B8" s="19" t="n">
        <v>2</v>
      </c>
      <c r="C8" s="15" t="inlineStr">
        <is>
          <t>Yes</t>
        </is>
      </c>
      <c r="D8" s="16" t="n"/>
      <c r="E8" s="16" t="n"/>
    </row>
    <row r="9">
      <c r="A9" s="15" t="inlineStr">
        <is>
          <t>Accessories</t>
        </is>
      </c>
      <c r="B9" s="19" t="n">
        <v>3</v>
      </c>
      <c r="C9" s="15" t="inlineStr">
        <is>
          <t>Yes</t>
        </is>
      </c>
      <c r="D9" s="16" t="n"/>
      <c r="E9" s="16" t="n"/>
    </row>
    <row r="10">
      <c r="A10" s="15" t="inlineStr">
        <is>
          <t>Special deals</t>
        </is>
      </c>
      <c r="B10" s="19" t="n">
        <v>3</v>
      </c>
      <c r="C10" s="15" t="inlineStr">
        <is>
          <t>Yes</t>
        </is>
      </c>
      <c r="D10" s="16" t="n"/>
      <c r="E10" s="16" t="n"/>
    </row>
    <row r="11">
      <c r="A11" s="15" t="inlineStr">
        <is>
          <t>Aura Collection</t>
        </is>
      </c>
      <c r="B11" s="19" t="n">
        <v>0</v>
      </c>
      <c r="C11" s="15" t="inlineStr">
        <is>
          <t>No — currently hidden</t>
        </is>
      </c>
      <c r="D11" s="16" t="n"/>
      <c r="E11" s="25" t="inlineStr">
        <is>
          <t>Nothing is in this section yet — is it still coming?</t>
        </is>
      </c>
    </row>
  </sheetData>
  <mergeCells count="1">
    <mergeCell ref="A1:E1"/>
  </mergeCells>
  <dataValidations count="1">
    <dataValidation sqref="D3 D4 D5 D6 D7 D8 D9 D10 D11" showDropDown="0" showInputMessage="0" showErrorMessage="0" allowBlank="1" type="list">
      <formula1>"Yes,No,Rename"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2026-08-01T14:19:38Z</dcterms:created>
  <dcterms:modified xmlns:dcterms="http://purl.org/dc/terms/" xmlns:xsi="http://www.w3.org/2001/XMLSchema-instance" xsi:type="dcterms:W3CDTF">2026-08-01T14:19:38Z</dcterms:modified>
</cp:coreProperties>
</file>